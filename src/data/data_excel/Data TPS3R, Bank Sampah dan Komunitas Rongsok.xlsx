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30" yWindow="675" windowWidth="20160" windowHeight="10125" activeTab="3"/>
  </bookViews>
  <sheets>
    <sheet name="TPS3R" sheetId="1" r:id="rId1"/>
    <sheet name="BANK SAMPAH" sheetId="2" r:id="rId2"/>
    <sheet name="PDU" sheetId="3" r:id="rId3"/>
    <sheet name="Komunitas maggot" sheetId="4" r:id="rId4"/>
  </sheets>
  <definedNames>
    <definedName name="_xlnm.Print_Area" localSheetId="3">'Komunitas maggot'!$A$1:$H$20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8" i="2" l="1"/>
  <c r="H25" i="1" l="1"/>
  <c r="J44" i="1"/>
  <c r="J43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2" i="1"/>
  <c r="J20" i="1"/>
  <c r="J18" i="1"/>
  <c r="J17" i="1"/>
  <c r="J16" i="1"/>
  <c r="J15" i="1"/>
  <c r="J14" i="1"/>
  <c r="J11" i="1"/>
  <c r="J8" i="1"/>
  <c r="J7" i="1"/>
  <c r="J5" i="1"/>
  <c r="J4" i="1"/>
  <c r="K4" i="1"/>
  <c r="K6" i="1"/>
  <c r="K8" i="1"/>
  <c r="K10" i="1"/>
  <c r="K12" i="1"/>
  <c r="K24" i="1"/>
  <c r="K26" i="1"/>
  <c r="K28" i="1"/>
  <c r="K42" i="1"/>
  <c r="K40" i="1"/>
  <c r="K38" i="1"/>
  <c r="K36" i="1"/>
  <c r="K34" i="1"/>
  <c r="K32" i="1"/>
  <c r="K30" i="1"/>
  <c r="K22" i="1"/>
  <c r="K20" i="1"/>
  <c r="K18" i="1"/>
  <c r="K16" i="1"/>
  <c r="K14" i="1"/>
</calcChain>
</file>

<file path=xl/sharedStrings.xml><?xml version="1.0" encoding="utf-8"?>
<sst xmlns="http://schemas.openxmlformats.org/spreadsheetml/2006/main" count="771" uniqueCount="350">
  <si>
    <t>No</t>
  </si>
  <si>
    <t>Nama Fasilitas</t>
  </si>
  <si>
    <t>Alamat (Kelurahan/Desa, Kecamatan)</t>
  </si>
  <si>
    <t>Titik Koordinat</t>
  </si>
  <si>
    <t>Jumlah sampah yang terkelola (ton/hari)</t>
  </si>
  <si>
    <t>Kapasitas (ton/hari)</t>
  </si>
  <si>
    <t>Kondisi (aktif/tidak aktif</t>
  </si>
  <si>
    <t>Jumlah SDM (Orang)</t>
  </si>
  <si>
    <t>Perizinan</t>
  </si>
  <si>
    <t>Pendanaan</t>
  </si>
  <si>
    <t>Omzet (Rp/Bulan)</t>
  </si>
  <si>
    <t>Market</t>
  </si>
  <si>
    <t>Jumlah KK Terlayani</t>
  </si>
  <si>
    <t>Sarana dan Prasarana yang dimiliki</t>
  </si>
  <si>
    <t>Kelembagaan yang mengelola</t>
  </si>
  <si>
    <t>Permasalahan</t>
  </si>
  <si>
    <t>Desa Ciwaru</t>
  </si>
  <si>
    <t>Desa Caracas</t>
  </si>
  <si>
    <t>Desa Jalaksana</t>
  </si>
  <si>
    <t>Desa Ragawacana</t>
  </si>
  <si>
    <t>Desa Linggasana</t>
  </si>
  <si>
    <t>Desa Babakan Mulya</t>
  </si>
  <si>
    <t>Desa Manis Kidul</t>
  </si>
  <si>
    <t>Desa Ciputat</t>
  </si>
  <si>
    <t>Desa Cilimus</t>
  </si>
  <si>
    <t>Desa Haur Kuning</t>
  </si>
  <si>
    <t>Desa Luragung Landeuh</t>
  </si>
  <si>
    <t>Kelurahan Awirarangan</t>
  </si>
  <si>
    <t>Kelurahan Cipari</t>
  </si>
  <si>
    <t>Kelurahan Cigugur</t>
  </si>
  <si>
    <t>Desa Ancaran</t>
  </si>
  <si>
    <t>Desa Cibeureum</t>
  </si>
  <si>
    <t>Desa Sindangsuka</t>
  </si>
  <si>
    <t>Desa Nanggerangjaya</t>
  </si>
  <si>
    <t>Desa Kalapagunung</t>
  </si>
  <si>
    <t>Desa Sampora</t>
  </si>
  <si>
    <t>Desa Karangtawang</t>
  </si>
  <si>
    <t>Desa Luragung Tonggoh</t>
  </si>
  <si>
    <t>Desa Gandasoli</t>
  </si>
  <si>
    <t>Desa Selajambe</t>
  </si>
  <si>
    <t>Desa Cikahirupan</t>
  </si>
  <si>
    <t>Desa Ciloa</t>
  </si>
  <si>
    <t>Desa Sukaraja</t>
  </si>
  <si>
    <t>Desa Kertayasa</t>
  </si>
  <si>
    <t>Desa Payosogan</t>
  </si>
  <si>
    <t>Desa Cirahayu</t>
  </si>
  <si>
    <t>Desa Gerba</t>
  </si>
  <si>
    <t>Cisantana</t>
  </si>
  <si>
    <t>Jagara</t>
  </si>
  <si>
    <t>TPS3R Desa Ciwaru</t>
  </si>
  <si>
    <t>Desa Wilanagara</t>
  </si>
  <si>
    <t>TPS3R Jagara</t>
  </si>
  <si>
    <t>TPS3R Cisantana</t>
  </si>
  <si>
    <t>TPS3R Desa Gerba</t>
  </si>
  <si>
    <t>TPS3R Ciporang</t>
  </si>
  <si>
    <t>TPS3R Desa Cirahayu</t>
  </si>
  <si>
    <t>TPS3R Desa Payosogan</t>
  </si>
  <si>
    <t>TPS3R Desa Kertayasa</t>
  </si>
  <si>
    <t>TPS3R Desa Caracas</t>
  </si>
  <si>
    <t>TPS3R Desa Jalaksana</t>
  </si>
  <si>
    <t>Desa  Widarasari</t>
  </si>
  <si>
    <t>Desa Padamenak</t>
  </si>
  <si>
    <t>TPS3R Desa Ragawacana</t>
  </si>
  <si>
    <t>TPS3R Desa Linggasana</t>
  </si>
  <si>
    <t>TPS3R Desa Babakan Mulya</t>
  </si>
  <si>
    <t>TPS3R Desa Manis Kidul</t>
  </si>
  <si>
    <t>TPS3R Desa Ciputat</t>
  </si>
  <si>
    <t>TPS3R Desa Cilimus</t>
  </si>
  <si>
    <t>TPS3R Desa Haur Kuning</t>
  </si>
  <si>
    <t>TPS3R Desa Luragung Landeuh</t>
  </si>
  <si>
    <t>TPS3R Desa Widarasari</t>
  </si>
  <si>
    <t>TPS3R Kelurahan Awirarangan</t>
  </si>
  <si>
    <t>TPS3R Kelurahan Cipari</t>
  </si>
  <si>
    <t>TPS3R Kelurahan Cigugur</t>
  </si>
  <si>
    <t>TPS3R Desa Ancaran</t>
  </si>
  <si>
    <t>TPS3R Desa Cibeureum</t>
  </si>
  <si>
    <t>TPS3R Desa Sindangsuka</t>
  </si>
  <si>
    <t>TPS3R Desa Nanggerangjaya</t>
  </si>
  <si>
    <t>TPS3R Desa Kalapagunung</t>
  </si>
  <si>
    <t>TPS3R Desa Sampora</t>
  </si>
  <si>
    <t>TPS3R Desa Karangtawang</t>
  </si>
  <si>
    <t>TPS3R Desa Luragung Tonggoh</t>
  </si>
  <si>
    <t>TPS3R Desa Padamenak</t>
  </si>
  <si>
    <t>TPS3R Desa Cibinuang</t>
  </si>
  <si>
    <t>TPS3R Desa Gandasoli</t>
  </si>
  <si>
    <t>TPS3R Desa Selajambe</t>
  </si>
  <si>
    <t>TPS3R Desa Cikahirupan</t>
  </si>
  <si>
    <t>TPS3R Desa Ciloa</t>
  </si>
  <si>
    <t>TPS3R Desa Sukaraja</t>
  </si>
  <si>
    <t>TPS3R Desa Wilanagara</t>
  </si>
  <si>
    <t>Kelurahan Ciporang</t>
  </si>
  <si>
    <t>TPS3R Desa Wanasaraya</t>
  </si>
  <si>
    <t>Desa Wanasaraya</t>
  </si>
  <si>
    <t>KSM</t>
  </si>
  <si>
    <t>400 KK</t>
  </si>
  <si>
    <t>tidak aktif</t>
  </si>
  <si>
    <t>TPS3R Desa Citundun</t>
  </si>
  <si>
    <t>Desa Citundun</t>
  </si>
  <si>
    <t>Desa Cibinuang</t>
  </si>
  <si>
    <t>aktif</t>
  </si>
  <si>
    <t>-</t>
  </si>
  <si>
    <t>-6.9699829</t>
  </si>
  <si>
    <t>-6.949904</t>
  </si>
  <si>
    <t>-6.9623564</t>
  </si>
  <si>
    <t>-7.0109924</t>
  </si>
  <si>
    <t>Latitude</t>
  </si>
  <si>
    <t>Longitude</t>
  </si>
  <si>
    <t>108.4909289</t>
  </si>
  <si>
    <t>108.5019235</t>
  </si>
  <si>
    <t>108.4492521</t>
  </si>
  <si>
    <t>108.3455262</t>
  </si>
  <si>
    <t>-6.939587</t>
  </si>
  <si>
    <t>108.4905757</t>
  </si>
  <si>
    <t>-6.931137</t>
  </si>
  <si>
    <t>108.5785396</t>
  </si>
  <si>
    <t>-7.0374772</t>
  </si>
  <si>
    <t>108.6239368</t>
  </si>
  <si>
    <t>-6.9845532</t>
  </si>
  <si>
    <t>108.6126148</t>
  </si>
  <si>
    <t>-6.9448358</t>
  </si>
  <si>
    <t>108.3592546</t>
  </si>
  <si>
    <t>-6.9701747</t>
  </si>
  <si>
    <t>108.5385101</t>
  </si>
  <si>
    <t>-6.9081067</t>
  </si>
  <si>
    <t>108.4884394</t>
  </si>
  <si>
    <t>-7.0182300</t>
  </si>
  <si>
    <t>108.6502218</t>
  </si>
  <si>
    <t>-6.964931</t>
  </si>
  <si>
    <t>108.471090</t>
  </si>
  <si>
    <t>-6.9712843</t>
  </si>
  <si>
    <t>108.5174323,47</t>
  </si>
  <si>
    <t>-6.8521708</t>
  </si>
  <si>
    <t>108.1874552</t>
  </si>
  <si>
    <t>-7.0332187</t>
  </si>
  <si>
    <t>107.9752575</t>
  </si>
  <si>
    <t>-6.8209455</t>
  </si>
  <si>
    <t>108.4667476</t>
  </si>
  <si>
    <t>-6.9925613</t>
  </si>
  <si>
    <t>108.5069997</t>
  </si>
  <si>
    <t>-7.1265553</t>
  </si>
  <si>
    <t>108.6383454</t>
  </si>
  <si>
    <t>-7.0586605</t>
  </si>
  <si>
    <t>108.4341905</t>
  </si>
  <si>
    <t>-6.9313125</t>
  </si>
  <si>
    <t>108.6442835</t>
  </si>
  <si>
    <t>-6.9995732</t>
  </si>
  <si>
    <t>108.4780523</t>
  </si>
  <si>
    <t>-6.9345722</t>
  </si>
  <si>
    <t>108.4676654</t>
  </si>
  <si>
    <t>-7.1145650</t>
  </si>
  <si>
    <t>108.4617302</t>
  </si>
  <si>
    <t>-7.0362755</t>
  </si>
  <si>
    <t>108.5392522</t>
  </si>
  <si>
    <t>-7.0853956</t>
  </si>
  <si>
    <t>108.63279</t>
  </si>
  <si>
    <t>-6.9021579</t>
  </si>
  <si>
    <t>-6.917718</t>
  </si>
  <si>
    <t>108.4673074</t>
  </si>
  <si>
    <t>-6.942003</t>
  </si>
  <si>
    <t>108.4643194</t>
  </si>
  <si>
    <t>-7.0276755</t>
  </si>
  <si>
    <t>108.4296955</t>
  </si>
  <si>
    <t>-6.9461854</t>
  </si>
  <si>
    <t>108.5203349</t>
  </si>
  <si>
    <t>-6.983233</t>
  </si>
  <si>
    <t>108.4902925</t>
  </si>
  <si>
    <t>TPS3R Desa Manislor</t>
  </si>
  <si>
    <t>Desa Manislor</t>
  </si>
  <si>
    <t>Motor Roda 3, Mesin Pemilah, dan Mesin Pengayak</t>
  </si>
  <si>
    <t>tidak adanya pengelolaan/ alih fungsi menjadi TPSS</t>
  </si>
  <si>
    <t>Jumlah Penduduk</t>
  </si>
  <si>
    <t>Caracas</t>
  </si>
  <si>
    <t>Kadugede</t>
  </si>
  <si>
    <t>Luragung</t>
  </si>
  <si>
    <t>Sukamaju</t>
  </si>
  <si>
    <t>Winduherang</t>
  </si>
  <si>
    <t>Sudirman</t>
  </si>
  <si>
    <t>Haurkuning</t>
  </si>
  <si>
    <t>Kertayasa</t>
  </si>
  <si>
    <t>Windusari</t>
  </si>
  <si>
    <t>Dukuh Dalem</t>
  </si>
  <si>
    <t>Cisalak Cipedes</t>
  </si>
  <si>
    <t>Ciomas</t>
  </si>
  <si>
    <t>Kuningan</t>
  </si>
  <si>
    <t>Kertaungaran</t>
  </si>
  <si>
    <t>Tugumulya</t>
  </si>
  <si>
    <t>No HP</t>
  </si>
  <si>
    <t>Nama Pengelola</t>
  </si>
  <si>
    <t>Nana (bumdes)</t>
  </si>
  <si>
    <t>Ulis</t>
  </si>
  <si>
    <t>Lurah Kardi</t>
  </si>
  <si>
    <t>Indra</t>
  </si>
  <si>
    <t>Yadi</t>
  </si>
  <si>
    <t>Meli (bumdes)</t>
  </si>
  <si>
    <t>Acep</t>
  </si>
  <si>
    <t>Erik (kaspel)</t>
  </si>
  <si>
    <t>Fauzi (bumdes)</t>
  </si>
  <si>
    <t>Wawan</t>
  </si>
  <si>
    <t>Kuwu</t>
  </si>
  <si>
    <t>Aca</t>
  </si>
  <si>
    <t>Deden (bumdes)</t>
  </si>
  <si>
    <t>Juhana</t>
  </si>
  <si>
    <t>Aas (Nasuha)</t>
  </si>
  <si>
    <t>Diding</t>
  </si>
  <si>
    <t>Sekdes</t>
  </si>
  <si>
    <t>Ekbang</t>
  </si>
  <si>
    <t>Dodi</t>
  </si>
  <si>
    <t>Jasmanto</t>
  </si>
  <si>
    <t>Agus (bumdes)</t>
  </si>
  <si>
    <t xml:space="preserve">Ujang </t>
  </si>
  <si>
    <t>0895351670943</t>
  </si>
  <si>
    <t>082126960422</t>
  </si>
  <si>
    <t>081222526430</t>
  </si>
  <si>
    <t>08974971820</t>
  </si>
  <si>
    <t>081320589666</t>
  </si>
  <si>
    <t>085322696166</t>
  </si>
  <si>
    <t>085860380051</t>
  </si>
  <si>
    <t>089602203282</t>
  </si>
  <si>
    <t>085211238448</t>
  </si>
  <si>
    <t>085122917379</t>
  </si>
  <si>
    <t>085295077079</t>
  </si>
  <si>
    <t>081395006060</t>
  </si>
  <si>
    <t>085322080141</t>
  </si>
  <si>
    <t>085295570017</t>
  </si>
  <si>
    <t>081284706611</t>
  </si>
  <si>
    <t>081313450072</t>
  </si>
  <si>
    <t>085795643085</t>
  </si>
  <si>
    <t>081214196476</t>
  </si>
  <si>
    <t>081386054515</t>
  </si>
  <si>
    <t>085311019543</t>
  </si>
  <si>
    <t>085722006434</t>
  </si>
  <si>
    <t>083837975099</t>
  </si>
  <si>
    <t>089659129809</t>
  </si>
  <si>
    <t>085220047674</t>
  </si>
  <si>
    <t>Cilimus</t>
  </si>
  <si>
    <t>Cigadung</t>
  </si>
  <si>
    <t>Cibingbin</t>
  </si>
  <si>
    <t>Nusaherang</t>
  </si>
  <si>
    <t>Sindangagung</t>
  </si>
  <si>
    <t>Japara</t>
  </si>
  <si>
    <t>Ciniru</t>
  </si>
  <si>
    <t>Cigugur</t>
  </si>
  <si>
    <t>Ciawigebang</t>
  </si>
  <si>
    <t>Darma</t>
  </si>
  <si>
    <t>Gunungmanik</t>
  </si>
  <si>
    <t>-6.8597001</t>
  </si>
  <si>
    <t>108.4927172</t>
  </si>
  <si>
    <t>-6.9829944</t>
  </si>
  <si>
    <t>108.4631788</t>
  </si>
  <si>
    <t>-7.0048522</t>
  </si>
  <si>
    <t>108.4480426</t>
  </si>
  <si>
    <t>-7.0142466</t>
  </si>
  <si>
    <t>108.6179757</t>
  </si>
  <si>
    <t>-7.0526768</t>
  </si>
  <si>
    <t>108.7426537</t>
  </si>
  <si>
    <t>-6.9855324</t>
  </si>
  <si>
    <t>108.4857728</t>
  </si>
  <si>
    <t>-7.0276315</t>
  </si>
  <si>
    <t>108.3927864</t>
  </si>
  <si>
    <t>-7.0274108</t>
  </si>
  <si>
    <t>108.3309832</t>
  </si>
  <si>
    <t>-7.0197104</t>
  </si>
  <si>
    <t>108.4400771</t>
  </si>
  <si>
    <t>-6.9221975,</t>
  </si>
  <si>
    <t>108.4774693</t>
  </si>
  <si>
    <t>-7.0645545</t>
  </si>
  <si>
    <t>108.5106452</t>
  </si>
  <si>
    <t>-6.9658183</t>
  </si>
  <si>
    <t>108.4569795</t>
  </si>
  <si>
    <t>-6.9752118</t>
  </si>
  <si>
    <t>108.5580161</t>
  </si>
  <si>
    <t>-6.9840517</t>
  </si>
  <si>
    <t>108.4802512</t>
  </si>
  <si>
    <t>-6.9793829</t>
  </si>
  <si>
    <t>108.5265641</t>
  </si>
  <si>
    <t>-7.0646276</t>
  </si>
  <si>
    <t>108.3952698</t>
  </si>
  <si>
    <t>-6.9173571</t>
  </si>
  <si>
    <t>108.4919328</t>
  </si>
  <si>
    <t>-7.0877412</t>
  </si>
  <si>
    <t>108.4975964</t>
  </si>
  <si>
    <t>Tidak Aktif</t>
  </si>
  <si>
    <t>Aktif</t>
  </si>
  <si>
    <t>Garawangi</t>
  </si>
  <si>
    <t>Tambakbaya</t>
  </si>
  <si>
    <t>Taraju</t>
  </si>
  <si>
    <t>Jalaksana</t>
  </si>
  <si>
    <t>Manislor</t>
  </si>
  <si>
    <t>Sukamulya</t>
  </si>
  <si>
    <t>Ciketak</t>
  </si>
  <si>
    <t>Ancaran</t>
  </si>
  <si>
    <t>-7.0060662</t>
  </si>
  <si>
    <t>108.5552108</t>
  </si>
  <si>
    <t>-6.9475494</t>
  </si>
  <si>
    <t>108.5298458</t>
  </si>
  <si>
    <t>-6.904982</t>
  </si>
  <si>
    <t>108.4872911</t>
  </si>
  <si>
    <t>-6.9412818</t>
  </si>
  <si>
    <t>108.44123</t>
  </si>
  <si>
    <t>-6.9778603</t>
  </si>
  <si>
    <t>108.4411844</t>
  </si>
  <si>
    <t>-7.0084362</t>
  </si>
  <si>
    <t>108.4557096</t>
  </si>
  <si>
    <t>-7.0051472</t>
  </si>
  <si>
    <t>108.4350163</t>
  </si>
  <si>
    <t>-6.9695478</t>
  </si>
  <si>
    <t>108.512401</t>
  </si>
  <si>
    <t>-7.0428881</t>
  </si>
  <si>
    <t>108.4975957</t>
  </si>
  <si>
    <t>Budidaya Maggot</t>
  </si>
  <si>
    <t>DATA BANK SAMPAH DI KABUPATEN KUNINGAN</t>
  </si>
  <si>
    <t>083157159216</t>
  </si>
  <si>
    <t>Tohadi</t>
  </si>
  <si>
    <t>082119490098</t>
  </si>
  <si>
    <t>Jumlah sampah yang terkelola (Kg/hari)</t>
  </si>
  <si>
    <t>300 Kg</t>
  </si>
  <si>
    <t>Bank Sampah Dinas Perumahan, Permukiman dan Pertanahan Kabupaten Kuningan</t>
  </si>
  <si>
    <t>Bank Sampah Berlian</t>
  </si>
  <si>
    <t>3 Kg</t>
  </si>
  <si>
    <t>Babakanmulya Cigugur</t>
  </si>
  <si>
    <t>TPS3R Yunisarah</t>
  </si>
  <si>
    <t>200 Kg</t>
  </si>
  <si>
    <t>5 Kg</t>
  </si>
  <si>
    <t>50 Kg</t>
  </si>
  <si>
    <t>80 Kg</t>
  </si>
  <si>
    <t>60 Kg</t>
  </si>
  <si>
    <t>40 Kg</t>
  </si>
  <si>
    <t>30 Kg</t>
  </si>
  <si>
    <t>Maleber</t>
  </si>
  <si>
    <t>85 Kg</t>
  </si>
  <si>
    <t>Desa Puncak</t>
  </si>
  <si>
    <t>Cugugur</t>
  </si>
  <si>
    <t>Arunika Cisantana</t>
  </si>
  <si>
    <t>Desa Sukamulya</t>
  </si>
  <si>
    <t>Desa Ciketak</t>
  </si>
  <si>
    <t>Desa Kadugede</t>
  </si>
  <si>
    <t>Desa Ciniru</t>
  </si>
  <si>
    <t>Desa Cikupa</t>
  </si>
  <si>
    <t>Desa Cinagara</t>
  </si>
  <si>
    <t>-6.9743137</t>
  </si>
  <si>
    <t>108.5212722</t>
  </si>
  <si>
    <t>-6.9695043</t>
  </si>
  <si>
    <t>108.4362123</t>
  </si>
  <si>
    <t>-7.0068843</t>
  </si>
  <si>
    <t>108.3942794</t>
  </si>
  <si>
    <t>-7.0155435</t>
  </si>
  <si>
    <t>108.5656277</t>
  </si>
  <si>
    <t>-6.9719324</t>
  </si>
  <si>
    <t>108.4318909</t>
  </si>
  <si>
    <t>KOMUNITAS BUDIDAYA MAGGOT KABUPATEN KUNINGAN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</si>
</sst>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8"/>
      <color theme="1"/>
      <name val="Bookman Old Style"/>
      <family val="1"/>
    </font>
    <font>
      <b/>
      <sz val="18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43" fontId="1" fillId="4" borderId="1" xfId="1" applyFont="1" applyFill="1" applyBorder="1" applyAlignment="1">
      <alignment vertical="center" wrapText="1"/>
    </xf>
    <xf numFmtId="43" fontId="1" fillId="5" borderId="1" xfId="1" applyFont="1" applyFill="1" applyBorder="1" applyAlignment="1">
      <alignment vertical="center" wrapText="1"/>
    </xf>
    <xf numFmtId="43" fontId="1" fillId="0" borderId="0" xfId="1" applyFont="1"/>
    <xf numFmtId="43" fontId="1" fillId="3" borderId="1" xfId="1" applyFont="1" applyFill="1" applyBorder="1" applyAlignment="1">
      <alignment vertical="center" wrapText="1"/>
    </xf>
    <xf numFmtId="43" fontId="0" fillId="0" borderId="0" xfId="1" applyFont="1"/>
    <xf numFmtId="43" fontId="1" fillId="4" borderId="1" xfId="1" applyFont="1" applyFill="1" applyBorder="1" applyAlignment="1">
      <alignment horizontal="center" vertical="center" wrapText="1"/>
    </xf>
    <xf numFmtId="43" fontId="1" fillId="0" borderId="0" xfId="1" applyFont="1" applyAlignment="1">
      <alignment horizontal="center"/>
    </xf>
    <xf numFmtId="43" fontId="1" fillId="3" borderId="1" xfId="1" applyFont="1" applyFill="1" applyBorder="1" applyAlignment="1">
      <alignment horizontal="center" vertical="center" wrapText="1"/>
    </xf>
    <xf numFmtId="43" fontId="1" fillId="5" borderId="1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43" fontId="0" fillId="3" borderId="1" xfId="1" applyFont="1" applyFill="1" applyBorder="1"/>
    <xf numFmtId="43" fontId="0" fillId="3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43" fontId="0" fillId="4" borderId="1" xfId="1" applyFont="1" applyFill="1" applyBorder="1"/>
    <xf numFmtId="43" fontId="0" fillId="4" borderId="1" xfId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vertical="center"/>
    </xf>
    <xf numFmtId="0" fontId="0" fillId="4" borderId="18" xfId="0" applyFill="1" applyBorder="1" applyAlignment="1">
      <alignment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6" borderId="0" xfId="0" applyFill="1"/>
    <xf numFmtId="0" fontId="1" fillId="2" borderId="3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/>
    </xf>
    <xf numFmtId="43" fontId="1" fillId="2" borderId="4" xfId="1" applyFont="1" applyFill="1" applyBorder="1" applyAlignment="1">
      <alignment horizontal="center" vertical="center" wrapText="1"/>
    </xf>
    <xf numFmtId="43" fontId="1" fillId="2" borderId="5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view="pageBreakPreview" topLeftCell="A2" zoomScale="52" zoomScaleNormal="100" zoomScaleSheetLayoutView="70" workbookViewId="0">
      <selection activeCell="D2" sqref="D2:D3"/>
    </sheetView>
  </sheetViews>
  <sheetFormatPr defaultRowHeight="15" x14ac:dyDescent="0.25"/>
  <cols>
    <col min="2" max="2" width="6.5703125" style="2" customWidth="1"/>
    <col min="3" max="3" width="27" style="1" customWidth="1"/>
    <col min="4" max="4" width="18.140625" style="3" customWidth="1"/>
    <col min="5" max="6" width="18.140625" style="25" customWidth="1"/>
    <col min="7" max="7" width="14.7109375" style="25" customWidth="1"/>
    <col min="8" max="9" width="14.7109375" style="16" customWidth="1"/>
    <col min="10" max="10" width="14.85546875" style="21" customWidth="1"/>
    <col min="11" max="11" width="14.140625" style="16" customWidth="1"/>
    <col min="12" max="12" width="14.5703125" style="2" customWidth="1"/>
    <col min="13" max="13" width="9.140625" style="16" customWidth="1"/>
    <col min="14" max="14" width="11.5703125" customWidth="1"/>
    <col min="15" max="15" width="20.42578125" style="33" customWidth="1"/>
    <col min="16" max="16" width="18.140625" style="38" customWidth="1"/>
    <col min="17" max="17" width="18.28515625" style="38" customWidth="1"/>
    <col min="18" max="18" width="14.140625" style="16" customWidth="1"/>
    <col min="19" max="19" width="21.42578125" customWidth="1"/>
    <col min="20" max="20" width="15.42578125" style="16" customWidth="1"/>
    <col min="21" max="21" width="24.85546875" customWidth="1"/>
  </cols>
  <sheetData>
    <row r="1" spans="1:22" x14ac:dyDescent="0.25">
      <c r="B1" s="4"/>
      <c r="C1" s="5"/>
      <c r="D1" s="6"/>
      <c r="E1" s="23"/>
      <c r="F1" s="23"/>
      <c r="G1" s="23"/>
      <c r="H1" s="15"/>
      <c r="I1" s="15"/>
      <c r="J1" s="17"/>
      <c r="K1" s="15"/>
      <c r="L1" s="4"/>
      <c r="M1" s="15"/>
      <c r="N1" s="7"/>
      <c r="O1" s="31"/>
      <c r="P1" s="35"/>
      <c r="Q1" s="35"/>
      <c r="R1" s="15"/>
      <c r="S1" s="7"/>
      <c r="T1" s="15"/>
      <c r="U1" s="7"/>
    </row>
    <row r="2" spans="1:22" ht="75" customHeight="1" x14ac:dyDescent="0.25">
      <c r="B2" s="80" t="s">
        <v>0</v>
      </c>
      <c r="C2" s="80" t="s">
        <v>1</v>
      </c>
      <c r="D2" s="80" t="s">
        <v>2</v>
      </c>
      <c r="E2" s="80" t="s">
        <v>186</v>
      </c>
      <c r="F2" s="80" t="s">
        <v>187</v>
      </c>
      <c r="G2" s="78" t="s">
        <v>3</v>
      </c>
      <c r="H2" s="79"/>
      <c r="I2" s="80" t="s">
        <v>170</v>
      </c>
      <c r="J2" s="82" t="s">
        <v>4</v>
      </c>
      <c r="K2" s="80" t="s">
        <v>5</v>
      </c>
      <c r="L2" s="80" t="s">
        <v>6</v>
      </c>
      <c r="M2" s="80" t="s">
        <v>7</v>
      </c>
      <c r="N2" s="80" t="s">
        <v>8</v>
      </c>
      <c r="O2" s="76" t="s">
        <v>9</v>
      </c>
      <c r="P2" s="76" t="s">
        <v>10</v>
      </c>
      <c r="Q2" s="76" t="s">
        <v>11</v>
      </c>
      <c r="R2" s="80" t="s">
        <v>12</v>
      </c>
      <c r="S2" s="80" t="s">
        <v>13</v>
      </c>
      <c r="T2" s="80" t="s">
        <v>14</v>
      </c>
      <c r="U2" s="80" t="s">
        <v>15</v>
      </c>
      <c r="V2" s="2"/>
    </row>
    <row r="3" spans="1:22" ht="24.75" customHeight="1" x14ac:dyDescent="0.25">
      <c r="B3" s="81"/>
      <c r="C3" s="81"/>
      <c r="D3" s="81"/>
      <c r="E3" s="81"/>
      <c r="F3" s="81"/>
      <c r="G3" s="8" t="s">
        <v>105</v>
      </c>
      <c r="H3" s="22" t="s">
        <v>106</v>
      </c>
      <c r="I3" s="81"/>
      <c r="J3" s="83"/>
      <c r="K3" s="81"/>
      <c r="L3" s="81"/>
      <c r="M3" s="81"/>
      <c r="N3" s="81"/>
      <c r="O3" s="77"/>
      <c r="P3" s="77"/>
      <c r="Q3" s="77"/>
      <c r="R3" s="81"/>
      <c r="S3" s="81"/>
      <c r="T3" s="81"/>
      <c r="U3" s="81"/>
      <c r="V3" s="2"/>
    </row>
    <row r="4" spans="1:22" ht="42.75" customHeight="1" x14ac:dyDescent="0.25">
      <c r="B4" s="9">
        <v>1</v>
      </c>
      <c r="C4" s="10" t="s">
        <v>49</v>
      </c>
      <c r="D4" s="10" t="s">
        <v>16</v>
      </c>
      <c r="E4" s="9"/>
      <c r="F4" s="9"/>
      <c r="G4" s="26" t="s">
        <v>153</v>
      </c>
      <c r="H4" s="26" t="s">
        <v>154</v>
      </c>
      <c r="I4" s="26">
        <v>7717</v>
      </c>
      <c r="J4" s="18">
        <f>I4*0.4</f>
        <v>3086.8</v>
      </c>
      <c r="K4" s="9">
        <f>1600*0.4</f>
        <v>640</v>
      </c>
      <c r="L4" s="9" t="s">
        <v>95</v>
      </c>
      <c r="M4" s="9">
        <v>5</v>
      </c>
      <c r="N4" s="10"/>
      <c r="O4" s="32">
        <v>550000000</v>
      </c>
      <c r="P4" s="36" t="s">
        <v>100</v>
      </c>
      <c r="Q4" s="36" t="s">
        <v>100</v>
      </c>
      <c r="R4" s="9" t="s">
        <v>94</v>
      </c>
      <c r="S4" s="10" t="s">
        <v>168</v>
      </c>
      <c r="T4" s="9" t="s">
        <v>93</v>
      </c>
      <c r="U4" s="10" t="s">
        <v>169</v>
      </c>
    </row>
    <row r="5" spans="1:22" ht="42.75" customHeight="1" x14ac:dyDescent="0.25">
      <c r="B5" s="11">
        <v>2</v>
      </c>
      <c r="C5" s="12" t="s">
        <v>166</v>
      </c>
      <c r="D5" s="12" t="s">
        <v>167</v>
      </c>
      <c r="E5" s="27" t="s">
        <v>313</v>
      </c>
      <c r="F5" s="11" t="s">
        <v>198</v>
      </c>
      <c r="G5" s="27" t="s">
        <v>155</v>
      </c>
      <c r="H5" s="28">
        <v>108489995</v>
      </c>
      <c r="I5" s="28">
        <v>4516</v>
      </c>
      <c r="J5" s="19">
        <f>I5*0.4</f>
        <v>1806.4</v>
      </c>
      <c r="K5" s="11">
        <v>640</v>
      </c>
      <c r="L5" s="11" t="s">
        <v>99</v>
      </c>
      <c r="M5" s="11">
        <v>3</v>
      </c>
      <c r="N5" s="12"/>
      <c r="O5" s="29">
        <v>550000000</v>
      </c>
      <c r="P5" s="34">
        <v>5000000</v>
      </c>
      <c r="Q5" s="34">
        <v>300000</v>
      </c>
      <c r="R5" s="11" t="s">
        <v>94</v>
      </c>
      <c r="S5" s="12" t="s">
        <v>168</v>
      </c>
      <c r="T5" s="11" t="s">
        <v>93</v>
      </c>
      <c r="U5" s="12"/>
    </row>
    <row r="6" spans="1:22" ht="42.75" customHeight="1" x14ac:dyDescent="0.25">
      <c r="B6" s="13">
        <v>3</v>
      </c>
      <c r="C6" s="14" t="s">
        <v>58</v>
      </c>
      <c r="D6" s="14" t="s">
        <v>17</v>
      </c>
      <c r="E6" s="13" t="s">
        <v>100</v>
      </c>
      <c r="F6" s="13" t="s">
        <v>100</v>
      </c>
      <c r="G6" s="13" t="s">
        <v>100</v>
      </c>
      <c r="H6" s="13" t="s">
        <v>100</v>
      </c>
      <c r="I6" s="13" t="s">
        <v>100</v>
      </c>
      <c r="J6" s="20" t="s">
        <v>100</v>
      </c>
      <c r="K6" s="9">
        <f>1600*0.4</f>
        <v>640</v>
      </c>
      <c r="L6" s="13" t="s">
        <v>95</v>
      </c>
      <c r="M6" s="13" t="s">
        <v>100</v>
      </c>
      <c r="N6" s="14"/>
      <c r="O6" s="32">
        <v>550000000</v>
      </c>
      <c r="P6" s="37" t="s">
        <v>100</v>
      </c>
      <c r="Q6" s="37" t="s">
        <v>100</v>
      </c>
      <c r="R6" s="9" t="s">
        <v>94</v>
      </c>
      <c r="S6" s="10" t="s">
        <v>168</v>
      </c>
      <c r="T6" s="13" t="s">
        <v>93</v>
      </c>
      <c r="U6" s="10" t="s">
        <v>169</v>
      </c>
    </row>
    <row r="7" spans="1:22" ht="42.75" customHeight="1" x14ac:dyDescent="0.25">
      <c r="B7" s="11">
        <v>4</v>
      </c>
      <c r="C7" s="12" t="s">
        <v>59</v>
      </c>
      <c r="D7" s="12" t="s">
        <v>18</v>
      </c>
      <c r="E7" s="11"/>
      <c r="F7" s="11"/>
      <c r="G7" s="27" t="s">
        <v>156</v>
      </c>
      <c r="H7" s="27" t="s">
        <v>157</v>
      </c>
      <c r="I7" s="27">
        <v>7059</v>
      </c>
      <c r="J7" s="19">
        <f>I7*0.4</f>
        <v>2823.6000000000004</v>
      </c>
      <c r="K7" s="11">
        <v>640</v>
      </c>
      <c r="L7" s="11" t="s">
        <v>95</v>
      </c>
      <c r="M7" s="11">
        <v>4</v>
      </c>
      <c r="N7" s="12"/>
      <c r="O7" s="29">
        <v>550000000</v>
      </c>
      <c r="P7" s="34">
        <v>5000000</v>
      </c>
      <c r="Q7" s="34">
        <v>500000</v>
      </c>
      <c r="R7" s="11" t="s">
        <v>94</v>
      </c>
      <c r="S7" s="12" t="s">
        <v>168</v>
      </c>
      <c r="T7" s="11" t="s">
        <v>93</v>
      </c>
      <c r="U7" s="12"/>
    </row>
    <row r="8" spans="1:22" ht="42.75" customHeight="1" x14ac:dyDescent="0.25">
      <c r="B8" s="13">
        <v>5</v>
      </c>
      <c r="C8" s="14" t="s">
        <v>62</v>
      </c>
      <c r="D8" s="14" t="s">
        <v>19</v>
      </c>
      <c r="E8" s="24" t="s">
        <v>311</v>
      </c>
      <c r="F8" s="13" t="s">
        <v>312</v>
      </c>
      <c r="G8" s="24" t="s">
        <v>158</v>
      </c>
      <c r="H8" s="24" t="s">
        <v>159</v>
      </c>
      <c r="I8" s="24">
        <v>3332</v>
      </c>
      <c r="J8" s="20">
        <f>I8*0.4</f>
        <v>1332.8000000000002</v>
      </c>
      <c r="K8" s="9">
        <f>1600*0.4</f>
        <v>640</v>
      </c>
      <c r="L8" s="13" t="s">
        <v>99</v>
      </c>
      <c r="M8" s="13">
        <v>5</v>
      </c>
      <c r="N8" s="14"/>
      <c r="O8" s="32">
        <v>550000000</v>
      </c>
      <c r="P8" s="37">
        <v>5000000</v>
      </c>
      <c r="Q8" s="37">
        <v>450000</v>
      </c>
      <c r="R8" s="9" t="s">
        <v>94</v>
      </c>
      <c r="S8" s="10" t="s">
        <v>168</v>
      </c>
      <c r="T8" s="13" t="s">
        <v>93</v>
      </c>
      <c r="U8" s="14"/>
    </row>
    <row r="9" spans="1:22" ht="42.75" customHeight="1" x14ac:dyDescent="0.25">
      <c r="B9" s="11">
        <v>6</v>
      </c>
      <c r="C9" s="12" t="s">
        <v>63</v>
      </c>
      <c r="D9" s="12" t="s">
        <v>20</v>
      </c>
      <c r="E9" s="11" t="s">
        <v>100</v>
      </c>
      <c r="F9" s="11" t="s">
        <v>100</v>
      </c>
      <c r="G9" s="11" t="s">
        <v>100</v>
      </c>
      <c r="H9" s="11" t="s">
        <v>100</v>
      </c>
      <c r="I9" s="11" t="s">
        <v>100</v>
      </c>
      <c r="J9" s="19" t="s">
        <v>100</v>
      </c>
      <c r="K9" s="11">
        <v>640</v>
      </c>
      <c r="L9" s="11" t="s">
        <v>95</v>
      </c>
      <c r="M9" s="11" t="s">
        <v>100</v>
      </c>
      <c r="N9" s="12"/>
      <c r="O9" s="29">
        <v>550000000</v>
      </c>
      <c r="P9" s="34" t="s">
        <v>100</v>
      </c>
      <c r="Q9" s="34" t="s">
        <v>100</v>
      </c>
      <c r="R9" s="11" t="s">
        <v>94</v>
      </c>
      <c r="S9" s="12" t="s">
        <v>168</v>
      </c>
      <c r="T9" s="11" t="s">
        <v>93</v>
      </c>
      <c r="U9" s="12" t="s">
        <v>169</v>
      </c>
    </row>
    <row r="10" spans="1:22" ht="42.75" customHeight="1" x14ac:dyDescent="0.25">
      <c r="B10" s="13">
        <v>7</v>
      </c>
      <c r="C10" s="14" t="s">
        <v>64</v>
      </c>
      <c r="D10" s="14" t="s">
        <v>21</v>
      </c>
      <c r="E10" s="13" t="s">
        <v>100</v>
      </c>
      <c r="F10" s="13" t="s">
        <v>100</v>
      </c>
      <c r="G10" s="13" t="s">
        <v>100</v>
      </c>
      <c r="H10" s="13" t="s">
        <v>100</v>
      </c>
      <c r="I10" s="13" t="s">
        <v>100</v>
      </c>
      <c r="J10" s="20" t="s">
        <v>100</v>
      </c>
      <c r="K10" s="9">
        <f>1600*0.4</f>
        <v>640</v>
      </c>
      <c r="L10" s="13" t="s">
        <v>95</v>
      </c>
      <c r="M10" s="13" t="s">
        <v>100</v>
      </c>
      <c r="N10" s="14"/>
      <c r="O10" s="32">
        <v>550000000</v>
      </c>
      <c r="P10" s="37" t="s">
        <v>100</v>
      </c>
      <c r="Q10" s="37" t="s">
        <v>100</v>
      </c>
      <c r="R10" s="9" t="s">
        <v>94</v>
      </c>
      <c r="S10" s="10" t="s">
        <v>168</v>
      </c>
      <c r="T10" s="13" t="s">
        <v>93</v>
      </c>
      <c r="U10" s="10" t="s">
        <v>169</v>
      </c>
    </row>
    <row r="11" spans="1:22" ht="42.75" customHeight="1" x14ac:dyDescent="0.25">
      <c r="B11" s="11">
        <v>8</v>
      </c>
      <c r="C11" s="12" t="s">
        <v>65</v>
      </c>
      <c r="D11" s="12" t="s">
        <v>22</v>
      </c>
      <c r="E11" s="11" t="s">
        <v>100</v>
      </c>
      <c r="F11" s="11" t="s">
        <v>100</v>
      </c>
      <c r="G11" s="11" t="s">
        <v>123</v>
      </c>
      <c r="H11" s="11" t="s">
        <v>124</v>
      </c>
      <c r="I11" s="11">
        <v>7144</v>
      </c>
      <c r="J11" s="19">
        <f>I11*0.4</f>
        <v>2857.6000000000004</v>
      </c>
      <c r="K11" s="11">
        <v>640</v>
      </c>
      <c r="L11" s="11" t="s">
        <v>95</v>
      </c>
      <c r="M11" s="11">
        <v>5</v>
      </c>
      <c r="N11" s="12"/>
      <c r="O11" s="29">
        <v>550000000</v>
      </c>
      <c r="P11" s="34" t="s">
        <v>100</v>
      </c>
      <c r="Q11" s="34" t="s">
        <v>100</v>
      </c>
      <c r="R11" s="11" t="s">
        <v>94</v>
      </c>
      <c r="S11" s="12" t="s">
        <v>168</v>
      </c>
      <c r="T11" s="11" t="s">
        <v>93</v>
      </c>
      <c r="U11" s="12" t="s">
        <v>169</v>
      </c>
    </row>
    <row r="12" spans="1:22" ht="42.75" customHeight="1" x14ac:dyDescent="0.25">
      <c r="B12" s="13">
        <v>9</v>
      </c>
      <c r="C12" s="14" t="s">
        <v>66</v>
      </c>
      <c r="D12" s="14" t="s">
        <v>23</v>
      </c>
      <c r="E12" s="13" t="s">
        <v>100</v>
      </c>
      <c r="F12" s="13" t="s">
        <v>100</v>
      </c>
      <c r="G12" s="13" t="s">
        <v>100</v>
      </c>
      <c r="H12" s="13" t="s">
        <v>100</v>
      </c>
      <c r="I12" s="13" t="s">
        <v>100</v>
      </c>
      <c r="J12" s="20" t="s">
        <v>100</v>
      </c>
      <c r="K12" s="9">
        <f>1600*0.4</f>
        <v>640</v>
      </c>
      <c r="L12" s="13" t="s">
        <v>95</v>
      </c>
      <c r="M12" s="13" t="s">
        <v>100</v>
      </c>
      <c r="N12" s="14"/>
      <c r="O12" s="30">
        <v>550000000</v>
      </c>
      <c r="P12" s="37" t="s">
        <v>100</v>
      </c>
      <c r="Q12" s="37" t="s">
        <v>100</v>
      </c>
      <c r="R12" s="9" t="s">
        <v>94</v>
      </c>
      <c r="S12" s="10" t="s">
        <v>168</v>
      </c>
      <c r="T12" s="13" t="s">
        <v>93</v>
      </c>
      <c r="U12" s="10" t="s">
        <v>169</v>
      </c>
    </row>
    <row r="13" spans="1:22" ht="42.75" customHeight="1" x14ac:dyDescent="0.25">
      <c r="B13" s="11">
        <v>10</v>
      </c>
      <c r="C13" s="12" t="s">
        <v>67</v>
      </c>
      <c r="D13" s="12" t="s">
        <v>24</v>
      </c>
      <c r="E13" s="11" t="s">
        <v>100</v>
      </c>
      <c r="F13" s="11" t="s">
        <v>100</v>
      </c>
      <c r="G13" s="11" t="s">
        <v>100</v>
      </c>
      <c r="H13" s="11" t="s">
        <v>100</v>
      </c>
      <c r="I13" s="11" t="s">
        <v>100</v>
      </c>
      <c r="J13" s="19" t="s">
        <v>100</v>
      </c>
      <c r="K13" s="11">
        <v>640</v>
      </c>
      <c r="L13" s="11" t="s">
        <v>95</v>
      </c>
      <c r="M13" s="11" t="s">
        <v>100</v>
      </c>
      <c r="N13" s="12"/>
      <c r="O13" s="29">
        <v>550000000</v>
      </c>
      <c r="P13" s="34" t="s">
        <v>100</v>
      </c>
      <c r="Q13" s="34" t="s">
        <v>100</v>
      </c>
      <c r="R13" s="11" t="s">
        <v>94</v>
      </c>
      <c r="S13" s="12" t="s">
        <v>168</v>
      </c>
      <c r="T13" s="11" t="s">
        <v>93</v>
      </c>
      <c r="U13" s="12" t="s">
        <v>169</v>
      </c>
    </row>
    <row r="14" spans="1:22" ht="42.75" customHeight="1" x14ac:dyDescent="0.25">
      <c r="A14" s="73"/>
      <c r="B14" s="13">
        <v>11</v>
      </c>
      <c r="C14" s="14" t="s">
        <v>68</v>
      </c>
      <c r="D14" s="14" t="s">
        <v>25</v>
      </c>
      <c r="E14" s="24" t="s">
        <v>211</v>
      </c>
      <c r="F14" s="13" t="s">
        <v>188</v>
      </c>
      <c r="G14" s="24" t="s">
        <v>160</v>
      </c>
      <c r="H14" s="24" t="s">
        <v>161</v>
      </c>
      <c r="I14" s="24">
        <v>4506</v>
      </c>
      <c r="J14" s="20">
        <f>I14*0.4</f>
        <v>1802.4</v>
      </c>
      <c r="K14" s="9">
        <f>1600*0.4</f>
        <v>640</v>
      </c>
      <c r="L14" s="13" t="s">
        <v>99</v>
      </c>
      <c r="M14" s="13">
        <v>5</v>
      </c>
      <c r="N14" s="14"/>
      <c r="O14" s="30">
        <v>550000000</v>
      </c>
      <c r="P14" s="37">
        <v>5000000</v>
      </c>
      <c r="Q14" s="37">
        <v>500000</v>
      </c>
      <c r="R14" s="9" t="s">
        <v>94</v>
      </c>
      <c r="S14" s="10" t="s">
        <v>168</v>
      </c>
      <c r="T14" s="13" t="s">
        <v>93</v>
      </c>
      <c r="U14" s="14"/>
    </row>
    <row r="15" spans="1:22" ht="42.75" customHeight="1" x14ac:dyDescent="0.25">
      <c r="A15" s="73"/>
      <c r="B15" s="11">
        <v>12</v>
      </c>
      <c r="C15" s="12" t="s">
        <v>69</v>
      </c>
      <c r="D15" s="12" t="s">
        <v>26</v>
      </c>
      <c r="E15" s="27" t="s">
        <v>212</v>
      </c>
      <c r="F15" s="11" t="s">
        <v>189</v>
      </c>
      <c r="G15" s="11" t="s">
        <v>125</v>
      </c>
      <c r="H15" s="11" t="s">
        <v>126</v>
      </c>
      <c r="I15" s="11">
        <v>5154</v>
      </c>
      <c r="J15" s="19">
        <f>I15*0.4</f>
        <v>2061.6</v>
      </c>
      <c r="K15" s="11">
        <v>640</v>
      </c>
      <c r="L15" s="11" t="s">
        <v>99</v>
      </c>
      <c r="M15" s="11">
        <v>4</v>
      </c>
      <c r="N15" s="12"/>
      <c r="O15" s="29">
        <v>550000000</v>
      </c>
      <c r="P15" s="34">
        <v>5000000</v>
      </c>
      <c r="Q15" s="34">
        <v>350000</v>
      </c>
      <c r="R15" s="11" t="s">
        <v>94</v>
      </c>
      <c r="S15" s="12" t="s">
        <v>168</v>
      </c>
      <c r="T15" s="11" t="s">
        <v>93</v>
      </c>
      <c r="U15" s="12"/>
    </row>
    <row r="16" spans="1:22" ht="42.75" customHeight="1" x14ac:dyDescent="0.25">
      <c r="B16" s="13">
        <v>13</v>
      </c>
      <c r="C16" s="14" t="s">
        <v>70</v>
      </c>
      <c r="D16" s="14" t="s">
        <v>60</v>
      </c>
      <c r="E16" s="24" t="s">
        <v>213</v>
      </c>
      <c r="F16" s="13" t="s">
        <v>190</v>
      </c>
      <c r="G16" s="24" t="s">
        <v>162</v>
      </c>
      <c r="H16" s="24" t="s">
        <v>163</v>
      </c>
      <c r="I16" s="24">
        <v>1803</v>
      </c>
      <c r="J16" s="20">
        <f>I16*0.4</f>
        <v>721.2</v>
      </c>
      <c r="K16" s="9">
        <f>1600*0.4</f>
        <v>640</v>
      </c>
      <c r="L16" s="13" t="s">
        <v>99</v>
      </c>
      <c r="M16" s="13">
        <v>5</v>
      </c>
      <c r="N16" s="14"/>
      <c r="O16" s="30">
        <v>600000000</v>
      </c>
      <c r="P16" s="37">
        <v>5000000</v>
      </c>
      <c r="Q16" s="37">
        <v>400000</v>
      </c>
      <c r="R16" s="9" t="s">
        <v>94</v>
      </c>
      <c r="S16" s="10" t="s">
        <v>168</v>
      </c>
      <c r="T16" s="13" t="s">
        <v>93</v>
      </c>
      <c r="U16" s="14"/>
    </row>
    <row r="17" spans="1:21" ht="42.75" customHeight="1" x14ac:dyDescent="0.25">
      <c r="B17" s="11">
        <v>14</v>
      </c>
      <c r="C17" s="12" t="s">
        <v>71</v>
      </c>
      <c r="D17" s="12" t="s">
        <v>27</v>
      </c>
      <c r="E17" s="27" t="s">
        <v>214</v>
      </c>
      <c r="F17" s="11" t="s">
        <v>191</v>
      </c>
      <c r="G17" s="27" t="s">
        <v>164</v>
      </c>
      <c r="H17" s="27" t="s">
        <v>165</v>
      </c>
      <c r="I17" s="27">
        <v>10994</v>
      </c>
      <c r="J17" s="19">
        <f>I17*0.4</f>
        <v>4397.6000000000004</v>
      </c>
      <c r="K17" s="11">
        <v>640</v>
      </c>
      <c r="L17" s="11" t="s">
        <v>99</v>
      </c>
      <c r="M17" s="11">
        <v>3</v>
      </c>
      <c r="N17" s="12"/>
      <c r="O17" s="29">
        <v>600000000</v>
      </c>
      <c r="P17" s="34">
        <v>5000000</v>
      </c>
      <c r="Q17" s="34">
        <v>450000</v>
      </c>
      <c r="R17" s="11" t="s">
        <v>94</v>
      </c>
      <c r="S17" s="12" t="s">
        <v>168</v>
      </c>
      <c r="T17" s="11" t="s">
        <v>93</v>
      </c>
      <c r="U17" s="12"/>
    </row>
    <row r="18" spans="1:21" ht="42.75" customHeight="1" x14ac:dyDescent="0.25">
      <c r="B18" s="13">
        <v>15</v>
      </c>
      <c r="C18" s="14" t="s">
        <v>72</v>
      </c>
      <c r="D18" s="14" t="s">
        <v>28</v>
      </c>
      <c r="E18" s="24" t="s">
        <v>215</v>
      </c>
      <c r="F18" s="13" t="s">
        <v>192</v>
      </c>
      <c r="G18" s="13" t="s">
        <v>127</v>
      </c>
      <c r="H18" s="13" t="s">
        <v>128</v>
      </c>
      <c r="I18" s="13">
        <v>5518</v>
      </c>
      <c r="J18" s="20">
        <f>I18*0.4</f>
        <v>2207.2000000000003</v>
      </c>
      <c r="K18" s="9">
        <f>1600*0.4</f>
        <v>640</v>
      </c>
      <c r="L18" s="13" t="s">
        <v>99</v>
      </c>
      <c r="M18" s="13">
        <v>4</v>
      </c>
      <c r="N18" s="14"/>
      <c r="O18" s="30">
        <v>600000000</v>
      </c>
      <c r="P18" s="37">
        <v>5000000</v>
      </c>
      <c r="Q18" s="37">
        <v>350000</v>
      </c>
      <c r="R18" s="9" t="s">
        <v>94</v>
      </c>
      <c r="S18" s="10" t="s">
        <v>168</v>
      </c>
      <c r="T18" s="13" t="s">
        <v>93</v>
      </c>
      <c r="U18" s="14"/>
    </row>
    <row r="19" spans="1:21" ht="42.75" customHeight="1" x14ac:dyDescent="0.25">
      <c r="B19" s="11">
        <v>16</v>
      </c>
      <c r="C19" s="12" t="s">
        <v>73</v>
      </c>
      <c r="D19" s="12" t="s">
        <v>29</v>
      </c>
      <c r="E19" s="11" t="s">
        <v>100</v>
      </c>
      <c r="F19" s="11" t="s">
        <v>100</v>
      </c>
      <c r="G19" s="11" t="s">
        <v>100</v>
      </c>
      <c r="H19" s="11" t="s">
        <v>100</v>
      </c>
      <c r="I19" s="11" t="s">
        <v>100</v>
      </c>
      <c r="J19" s="19" t="s">
        <v>100</v>
      </c>
      <c r="K19" s="11">
        <v>640</v>
      </c>
      <c r="L19" s="11" t="s">
        <v>95</v>
      </c>
      <c r="M19" s="11" t="s">
        <v>100</v>
      </c>
      <c r="N19" s="12"/>
      <c r="O19" s="29">
        <v>600000000</v>
      </c>
      <c r="P19" s="34" t="s">
        <v>100</v>
      </c>
      <c r="Q19" s="34" t="s">
        <v>100</v>
      </c>
      <c r="R19" s="11" t="s">
        <v>94</v>
      </c>
      <c r="S19" s="12" t="s">
        <v>168</v>
      </c>
      <c r="T19" s="11" t="s">
        <v>93</v>
      </c>
      <c r="U19" s="12" t="s">
        <v>169</v>
      </c>
    </row>
    <row r="20" spans="1:21" ht="42.75" customHeight="1" x14ac:dyDescent="0.25">
      <c r="A20" s="73"/>
      <c r="B20" s="13">
        <v>17</v>
      </c>
      <c r="C20" s="14" t="s">
        <v>74</v>
      </c>
      <c r="D20" s="14" t="s">
        <v>30</v>
      </c>
      <c r="E20" s="24" t="s">
        <v>210</v>
      </c>
      <c r="F20" s="13" t="s">
        <v>193</v>
      </c>
      <c r="G20" s="13" t="s">
        <v>129</v>
      </c>
      <c r="H20" s="13" t="s">
        <v>130</v>
      </c>
      <c r="I20" s="13">
        <v>10648</v>
      </c>
      <c r="J20" s="20">
        <f>I20*0.4</f>
        <v>4259.2</v>
      </c>
      <c r="K20" s="9">
        <f>1600*0.4</f>
        <v>640</v>
      </c>
      <c r="L20" s="13" t="s">
        <v>99</v>
      </c>
      <c r="M20" s="13">
        <v>5</v>
      </c>
      <c r="N20" s="14"/>
      <c r="O20" s="30">
        <v>600000000</v>
      </c>
      <c r="P20" s="37">
        <v>5000000</v>
      </c>
      <c r="Q20" s="37">
        <v>300000</v>
      </c>
      <c r="R20" s="9" t="s">
        <v>94</v>
      </c>
      <c r="S20" s="10" t="s">
        <v>168</v>
      </c>
      <c r="T20" s="13" t="s">
        <v>93</v>
      </c>
      <c r="U20" s="14"/>
    </row>
    <row r="21" spans="1:21" ht="42.75" customHeight="1" x14ac:dyDescent="0.25">
      <c r="A21" s="73"/>
      <c r="B21" s="11">
        <v>18</v>
      </c>
      <c r="C21" s="12" t="s">
        <v>75</v>
      </c>
      <c r="D21" s="12" t="s">
        <v>31</v>
      </c>
      <c r="E21" s="27" t="s">
        <v>216</v>
      </c>
      <c r="F21" s="11" t="s">
        <v>194</v>
      </c>
      <c r="G21" s="11" t="s">
        <v>131</v>
      </c>
      <c r="H21" s="11" t="s">
        <v>132</v>
      </c>
      <c r="I21" s="11" t="s">
        <v>100</v>
      </c>
      <c r="J21" s="19" t="s">
        <v>100</v>
      </c>
      <c r="K21" s="11">
        <v>640</v>
      </c>
      <c r="L21" s="11" t="s">
        <v>99</v>
      </c>
      <c r="M21" s="11" t="s">
        <v>100</v>
      </c>
      <c r="N21" s="12"/>
      <c r="O21" s="29">
        <v>600000000</v>
      </c>
      <c r="P21" s="34">
        <v>5000000</v>
      </c>
      <c r="Q21" s="34">
        <v>300000</v>
      </c>
      <c r="R21" s="11" t="s">
        <v>94</v>
      </c>
      <c r="S21" s="12" t="s">
        <v>168</v>
      </c>
      <c r="T21" s="11" t="s">
        <v>93</v>
      </c>
      <c r="U21" s="12"/>
    </row>
    <row r="22" spans="1:21" ht="42.75" customHeight="1" x14ac:dyDescent="0.25">
      <c r="B22" s="13">
        <v>19</v>
      </c>
      <c r="C22" s="14" t="s">
        <v>76</v>
      </c>
      <c r="D22" s="14" t="s">
        <v>32</v>
      </c>
      <c r="E22" s="24" t="s">
        <v>217</v>
      </c>
      <c r="F22" s="13" t="s">
        <v>195</v>
      </c>
      <c r="G22" s="13" t="s">
        <v>133</v>
      </c>
      <c r="H22" s="13" t="s">
        <v>134</v>
      </c>
      <c r="I22" s="13">
        <v>1380</v>
      </c>
      <c r="J22" s="20">
        <f>I22*0.4</f>
        <v>552</v>
      </c>
      <c r="K22" s="9">
        <f>1600*0.4</f>
        <v>640</v>
      </c>
      <c r="L22" s="13" t="s">
        <v>99</v>
      </c>
      <c r="M22" s="13">
        <v>3</v>
      </c>
      <c r="N22" s="14"/>
      <c r="O22" s="30">
        <v>600000000</v>
      </c>
      <c r="P22" s="37">
        <v>5000000</v>
      </c>
      <c r="Q22" s="37">
        <v>350000</v>
      </c>
      <c r="R22" s="9" t="s">
        <v>94</v>
      </c>
      <c r="S22" s="10" t="s">
        <v>168</v>
      </c>
      <c r="T22" s="13" t="s">
        <v>93</v>
      </c>
      <c r="U22" s="14"/>
    </row>
    <row r="23" spans="1:21" ht="42.75" customHeight="1" x14ac:dyDescent="0.25">
      <c r="B23" s="11">
        <v>20</v>
      </c>
      <c r="C23" s="12" t="s">
        <v>77</v>
      </c>
      <c r="D23" s="12" t="s">
        <v>33</v>
      </c>
      <c r="E23" s="11"/>
      <c r="F23" s="11"/>
      <c r="G23" s="11" t="s">
        <v>135</v>
      </c>
      <c r="H23" s="11" t="s">
        <v>136</v>
      </c>
      <c r="I23" s="11"/>
      <c r="J23" s="19" t="s">
        <v>100</v>
      </c>
      <c r="K23" s="11">
        <v>640</v>
      </c>
      <c r="L23" s="11" t="s">
        <v>95</v>
      </c>
      <c r="M23" s="11" t="s">
        <v>100</v>
      </c>
      <c r="N23" s="12"/>
      <c r="O23" s="29">
        <v>600000000</v>
      </c>
      <c r="P23" s="34" t="s">
        <v>100</v>
      </c>
      <c r="Q23" s="34" t="s">
        <v>100</v>
      </c>
      <c r="R23" s="11" t="s">
        <v>94</v>
      </c>
      <c r="S23" s="12" t="s">
        <v>168</v>
      </c>
      <c r="T23" s="11" t="s">
        <v>93</v>
      </c>
      <c r="U23" s="12" t="s">
        <v>169</v>
      </c>
    </row>
    <row r="24" spans="1:21" ht="42.75" customHeight="1" x14ac:dyDescent="0.25">
      <c r="B24" s="13">
        <v>21</v>
      </c>
      <c r="C24" s="14" t="s">
        <v>78</v>
      </c>
      <c r="D24" s="14" t="s">
        <v>34</v>
      </c>
      <c r="E24" s="24" t="s">
        <v>218</v>
      </c>
      <c r="F24" s="13" t="s">
        <v>196</v>
      </c>
      <c r="G24" s="13"/>
      <c r="H24" s="13"/>
      <c r="I24" s="13">
        <v>5184</v>
      </c>
      <c r="J24" s="20">
        <f t="shared" ref="J24:J41" si="0">I24*0.4</f>
        <v>2073.6</v>
      </c>
      <c r="K24" s="9">
        <f>1600*0.4</f>
        <v>640</v>
      </c>
      <c r="L24" s="13" t="s">
        <v>95</v>
      </c>
      <c r="M24" s="13">
        <v>4</v>
      </c>
      <c r="N24" s="14"/>
      <c r="O24" s="30">
        <v>600000000</v>
      </c>
      <c r="P24" s="37" t="s">
        <v>100</v>
      </c>
      <c r="Q24" s="37" t="s">
        <v>100</v>
      </c>
      <c r="R24" s="9" t="s">
        <v>94</v>
      </c>
      <c r="S24" s="10" t="s">
        <v>168</v>
      </c>
      <c r="T24" s="13" t="s">
        <v>93</v>
      </c>
      <c r="U24" s="10" t="s">
        <v>169</v>
      </c>
    </row>
    <row r="25" spans="1:21" ht="42.75" customHeight="1" x14ac:dyDescent="0.25">
      <c r="B25" s="11">
        <v>22</v>
      </c>
      <c r="C25" s="12" t="s">
        <v>79</v>
      </c>
      <c r="D25" s="12" t="s">
        <v>35</v>
      </c>
      <c r="E25" s="11" t="s">
        <v>100</v>
      </c>
      <c r="F25" s="11" t="s">
        <v>100</v>
      </c>
      <c r="G25" s="11" t="s">
        <v>100</v>
      </c>
      <c r="H25" s="11">
        <f>-H2</f>
        <v>0</v>
      </c>
      <c r="I25" s="11">
        <v>6054</v>
      </c>
      <c r="J25" s="19">
        <f t="shared" si="0"/>
        <v>2421.6</v>
      </c>
      <c r="K25" s="11">
        <v>640</v>
      </c>
      <c r="L25" s="11" t="s">
        <v>95</v>
      </c>
      <c r="M25" s="11">
        <v>4</v>
      </c>
      <c r="N25" s="12"/>
      <c r="O25" s="29">
        <v>600000000</v>
      </c>
      <c r="P25" s="34" t="s">
        <v>100</v>
      </c>
      <c r="Q25" s="34" t="s">
        <v>100</v>
      </c>
      <c r="R25" s="11" t="s">
        <v>94</v>
      </c>
      <c r="S25" s="12" t="s">
        <v>168</v>
      </c>
      <c r="T25" s="11" t="s">
        <v>93</v>
      </c>
      <c r="U25" s="12" t="s">
        <v>169</v>
      </c>
    </row>
    <row r="26" spans="1:21" ht="42.75" customHeight="1" x14ac:dyDescent="0.25">
      <c r="B26" s="13">
        <v>23</v>
      </c>
      <c r="C26" s="14" t="s">
        <v>80</v>
      </c>
      <c r="D26" s="14" t="s">
        <v>36</v>
      </c>
      <c r="E26" s="24" t="s">
        <v>219</v>
      </c>
      <c r="F26" s="13" t="s">
        <v>197</v>
      </c>
      <c r="G26" s="13" t="s">
        <v>137</v>
      </c>
      <c r="H26" s="13" t="s">
        <v>138</v>
      </c>
      <c r="I26" s="13">
        <v>4288</v>
      </c>
      <c r="J26" s="20">
        <f t="shared" si="0"/>
        <v>1715.2</v>
      </c>
      <c r="K26" s="9">
        <f>1600*0.4</f>
        <v>640</v>
      </c>
      <c r="L26" s="13" t="s">
        <v>99</v>
      </c>
      <c r="M26" s="13">
        <v>5</v>
      </c>
      <c r="N26" s="14"/>
      <c r="O26" s="30">
        <v>600000000</v>
      </c>
      <c r="P26" s="37">
        <v>5000000</v>
      </c>
      <c r="Q26" s="37">
        <v>400000</v>
      </c>
      <c r="R26" s="9" t="s">
        <v>94</v>
      </c>
      <c r="S26" s="10" t="s">
        <v>168</v>
      </c>
      <c r="T26" s="13" t="s">
        <v>93</v>
      </c>
      <c r="U26" s="14"/>
    </row>
    <row r="27" spans="1:21" ht="42.75" customHeight="1" x14ac:dyDescent="0.25">
      <c r="B27" s="11">
        <v>24</v>
      </c>
      <c r="C27" s="12" t="s">
        <v>96</v>
      </c>
      <c r="D27" s="12" t="s">
        <v>97</v>
      </c>
      <c r="E27" s="27" t="s">
        <v>220</v>
      </c>
      <c r="F27" s="11" t="s">
        <v>198</v>
      </c>
      <c r="G27" s="11" t="s">
        <v>139</v>
      </c>
      <c r="H27" s="11" t="s">
        <v>140</v>
      </c>
      <c r="I27" s="11">
        <v>2198</v>
      </c>
      <c r="J27" s="19">
        <f t="shared" si="0"/>
        <v>879.2</v>
      </c>
      <c r="K27" s="11">
        <v>640</v>
      </c>
      <c r="L27" s="11" t="s">
        <v>99</v>
      </c>
      <c r="M27" s="11">
        <v>4</v>
      </c>
      <c r="N27" s="12"/>
      <c r="O27" s="29">
        <v>600000000</v>
      </c>
      <c r="P27" s="34">
        <v>5000000</v>
      </c>
      <c r="Q27" s="34">
        <v>450000</v>
      </c>
      <c r="R27" s="11" t="s">
        <v>94</v>
      </c>
      <c r="S27" s="12" t="s">
        <v>168</v>
      </c>
      <c r="T27" s="11" t="s">
        <v>93</v>
      </c>
      <c r="U27" s="12"/>
    </row>
    <row r="28" spans="1:21" ht="42.75" customHeight="1" x14ac:dyDescent="0.25">
      <c r="A28" s="73"/>
      <c r="B28" s="9">
        <v>25</v>
      </c>
      <c r="C28" s="14" t="s">
        <v>81</v>
      </c>
      <c r="D28" s="14" t="s">
        <v>37</v>
      </c>
      <c r="E28" s="24" t="s">
        <v>221</v>
      </c>
      <c r="F28" s="13" t="s">
        <v>198</v>
      </c>
      <c r="G28" s="13" t="s">
        <v>141</v>
      </c>
      <c r="H28" s="13" t="s">
        <v>142</v>
      </c>
      <c r="I28" s="13">
        <v>2550</v>
      </c>
      <c r="J28" s="20">
        <f t="shared" si="0"/>
        <v>1020</v>
      </c>
      <c r="K28" s="9">
        <f>1600*0.4</f>
        <v>640</v>
      </c>
      <c r="L28" s="13" t="s">
        <v>99</v>
      </c>
      <c r="M28" s="13">
        <v>4</v>
      </c>
      <c r="N28" s="14"/>
      <c r="O28" s="30">
        <v>600000000</v>
      </c>
      <c r="P28" s="37">
        <v>5000000</v>
      </c>
      <c r="Q28" s="37">
        <v>350000</v>
      </c>
      <c r="R28" s="9" t="s">
        <v>94</v>
      </c>
      <c r="S28" s="10" t="s">
        <v>168</v>
      </c>
      <c r="T28" s="13" t="s">
        <v>93</v>
      </c>
      <c r="U28" s="14"/>
    </row>
    <row r="29" spans="1:21" ht="42.75" customHeight="1" x14ac:dyDescent="0.25">
      <c r="A29" s="73"/>
      <c r="B29" s="11">
        <v>26</v>
      </c>
      <c r="C29" s="12" t="s">
        <v>91</v>
      </c>
      <c r="D29" s="12" t="s">
        <v>92</v>
      </c>
      <c r="E29" s="27" t="s">
        <v>222</v>
      </c>
      <c r="F29" s="11" t="s">
        <v>198</v>
      </c>
      <c r="G29" s="11" t="s">
        <v>143</v>
      </c>
      <c r="H29" s="11" t="s">
        <v>144</v>
      </c>
      <c r="I29" s="11">
        <v>2718</v>
      </c>
      <c r="J29" s="19">
        <f t="shared" si="0"/>
        <v>1087.2</v>
      </c>
      <c r="K29" s="11">
        <v>640</v>
      </c>
      <c r="L29" s="11" t="s">
        <v>99</v>
      </c>
      <c r="M29" s="11">
        <v>3</v>
      </c>
      <c r="N29" s="12"/>
      <c r="O29" s="29">
        <v>600000000</v>
      </c>
      <c r="P29" s="34">
        <v>5000000</v>
      </c>
      <c r="Q29" s="34">
        <v>400000</v>
      </c>
      <c r="R29" s="11" t="s">
        <v>94</v>
      </c>
      <c r="S29" s="12" t="s">
        <v>168</v>
      </c>
      <c r="T29" s="11" t="s">
        <v>93</v>
      </c>
      <c r="U29" s="12"/>
    </row>
    <row r="30" spans="1:21" ht="42.75" customHeight="1" x14ac:dyDescent="0.25">
      <c r="B30" s="13">
        <v>27</v>
      </c>
      <c r="C30" s="14" t="s">
        <v>82</v>
      </c>
      <c r="D30" s="14" t="s">
        <v>61</v>
      </c>
      <c r="E30" s="24" t="s">
        <v>223</v>
      </c>
      <c r="F30" s="13" t="s">
        <v>199</v>
      </c>
      <c r="G30" s="13"/>
      <c r="H30" s="13"/>
      <c r="I30" s="13">
        <v>1426</v>
      </c>
      <c r="J30" s="20">
        <f t="shared" si="0"/>
        <v>570.4</v>
      </c>
      <c r="K30" s="9">
        <f>1600*0.4</f>
        <v>640</v>
      </c>
      <c r="L30" s="13" t="s">
        <v>99</v>
      </c>
      <c r="M30" s="13">
        <v>7</v>
      </c>
      <c r="N30" s="14"/>
      <c r="O30" s="30">
        <v>600000000</v>
      </c>
      <c r="P30" s="37">
        <v>5000000</v>
      </c>
      <c r="Q30" s="37">
        <v>450000</v>
      </c>
      <c r="R30" s="9" t="s">
        <v>94</v>
      </c>
      <c r="S30" s="10" t="s">
        <v>168</v>
      </c>
      <c r="T30" s="13" t="s">
        <v>93</v>
      </c>
      <c r="U30" s="14"/>
    </row>
    <row r="31" spans="1:21" ht="42.75" customHeight="1" x14ac:dyDescent="0.25">
      <c r="B31" s="11">
        <v>28</v>
      </c>
      <c r="C31" s="12" t="s">
        <v>83</v>
      </c>
      <c r="D31" s="12" t="s">
        <v>98</v>
      </c>
      <c r="E31" s="27" t="s">
        <v>224</v>
      </c>
      <c r="F31" s="11" t="s">
        <v>200</v>
      </c>
      <c r="G31" s="11" t="s">
        <v>145</v>
      </c>
      <c r="H31" s="11" t="s">
        <v>146</v>
      </c>
      <c r="I31" s="11">
        <v>3075</v>
      </c>
      <c r="J31" s="19">
        <f t="shared" si="0"/>
        <v>1230</v>
      </c>
      <c r="K31" s="11">
        <v>640</v>
      </c>
      <c r="L31" s="11" t="s">
        <v>99</v>
      </c>
      <c r="M31" s="11">
        <v>5</v>
      </c>
      <c r="N31" s="12"/>
      <c r="O31" s="29">
        <v>600000000</v>
      </c>
      <c r="P31" s="34">
        <v>5000000</v>
      </c>
      <c r="Q31" s="34">
        <v>500000</v>
      </c>
      <c r="R31" s="11" t="s">
        <v>94</v>
      </c>
      <c r="S31" s="12" t="s">
        <v>168</v>
      </c>
      <c r="T31" s="11" t="s">
        <v>93</v>
      </c>
      <c r="U31" s="12"/>
    </row>
    <row r="32" spans="1:21" ht="42.75" customHeight="1" x14ac:dyDescent="0.25">
      <c r="B32" s="9">
        <v>29</v>
      </c>
      <c r="C32" s="14" t="s">
        <v>84</v>
      </c>
      <c r="D32" s="14" t="s">
        <v>38</v>
      </c>
      <c r="E32" s="24" t="s">
        <v>225</v>
      </c>
      <c r="F32" s="13" t="s">
        <v>201</v>
      </c>
      <c r="G32" s="13" t="s">
        <v>147</v>
      </c>
      <c r="H32" s="13" t="s">
        <v>148</v>
      </c>
      <c r="I32" s="13">
        <v>4810</v>
      </c>
      <c r="J32" s="20">
        <f t="shared" si="0"/>
        <v>1924</v>
      </c>
      <c r="K32" s="9">
        <f>1600*0.4</f>
        <v>640</v>
      </c>
      <c r="L32" s="13" t="s">
        <v>99</v>
      </c>
      <c r="M32" s="13">
        <v>3</v>
      </c>
      <c r="N32" s="14"/>
      <c r="O32" s="30">
        <v>600000000</v>
      </c>
      <c r="P32" s="37">
        <v>5000000</v>
      </c>
      <c r="Q32" s="37">
        <v>450000</v>
      </c>
      <c r="R32" s="9" t="s">
        <v>94</v>
      </c>
      <c r="S32" s="10" t="s">
        <v>168</v>
      </c>
      <c r="T32" s="13" t="s">
        <v>93</v>
      </c>
      <c r="U32" s="14"/>
    </row>
    <row r="33" spans="1:21" ht="42.75" customHeight="1" x14ac:dyDescent="0.25">
      <c r="B33" s="11">
        <v>30</v>
      </c>
      <c r="C33" s="12" t="s">
        <v>85</v>
      </c>
      <c r="D33" s="12" t="s">
        <v>39</v>
      </c>
      <c r="E33" s="11"/>
      <c r="F33" s="11"/>
      <c r="G33" s="11" t="s">
        <v>149</v>
      </c>
      <c r="H33" s="11" t="s">
        <v>150</v>
      </c>
      <c r="I33" s="11">
        <v>2883</v>
      </c>
      <c r="J33" s="19">
        <f t="shared" si="0"/>
        <v>1153.2</v>
      </c>
      <c r="K33" s="11">
        <v>640</v>
      </c>
      <c r="L33" s="11" t="s">
        <v>99</v>
      </c>
      <c r="M33" s="11">
        <v>3</v>
      </c>
      <c r="N33" s="12"/>
      <c r="O33" s="29">
        <v>600000000</v>
      </c>
      <c r="P33" s="34">
        <v>5000000</v>
      </c>
      <c r="Q33" s="34">
        <v>400000</v>
      </c>
      <c r="R33" s="11" t="s">
        <v>94</v>
      </c>
      <c r="S33" s="12" t="s">
        <v>168</v>
      </c>
      <c r="T33" s="11" t="s">
        <v>93</v>
      </c>
      <c r="U33" s="12"/>
    </row>
    <row r="34" spans="1:21" ht="42.75" customHeight="1" x14ac:dyDescent="0.25">
      <c r="B34" s="13">
        <v>31</v>
      </c>
      <c r="C34" s="14" t="s">
        <v>86</v>
      </c>
      <c r="D34" s="14" t="s">
        <v>40</v>
      </c>
      <c r="E34" s="24" t="s">
        <v>226</v>
      </c>
      <c r="F34" s="13" t="s">
        <v>202</v>
      </c>
      <c r="G34" s="13" t="s">
        <v>151</v>
      </c>
      <c r="H34" s="13" t="s">
        <v>152</v>
      </c>
      <c r="I34" s="13">
        <v>4588</v>
      </c>
      <c r="J34" s="20">
        <f t="shared" si="0"/>
        <v>1835.2</v>
      </c>
      <c r="K34" s="9">
        <f>1600*0.4</f>
        <v>640</v>
      </c>
      <c r="L34" s="13" t="s">
        <v>99</v>
      </c>
      <c r="M34" s="13">
        <v>3</v>
      </c>
      <c r="N34" s="14"/>
      <c r="O34" s="30">
        <v>600000000</v>
      </c>
      <c r="P34" s="37">
        <v>5000000</v>
      </c>
      <c r="Q34" s="37">
        <v>450000</v>
      </c>
      <c r="R34" s="9" t="s">
        <v>94</v>
      </c>
      <c r="S34" s="10" t="s">
        <v>168</v>
      </c>
      <c r="T34" s="13" t="s">
        <v>93</v>
      </c>
      <c r="U34" s="14"/>
    </row>
    <row r="35" spans="1:21" ht="42.75" customHeight="1" x14ac:dyDescent="0.25">
      <c r="B35" s="11">
        <v>32</v>
      </c>
      <c r="C35" s="12" t="s">
        <v>87</v>
      </c>
      <c r="D35" s="12" t="s">
        <v>41</v>
      </c>
      <c r="E35" s="27" t="s">
        <v>227</v>
      </c>
      <c r="F35" s="11" t="s">
        <v>203</v>
      </c>
      <c r="G35" s="11" t="s">
        <v>111</v>
      </c>
      <c r="H35" s="11" t="s">
        <v>112</v>
      </c>
      <c r="I35" s="11">
        <v>3594</v>
      </c>
      <c r="J35" s="19">
        <f t="shared" si="0"/>
        <v>1437.6000000000001</v>
      </c>
      <c r="K35" s="11">
        <v>640</v>
      </c>
      <c r="L35" s="11" t="s">
        <v>99</v>
      </c>
      <c r="M35" s="11">
        <v>3</v>
      </c>
      <c r="N35" s="12"/>
      <c r="O35" s="29">
        <v>600000000</v>
      </c>
      <c r="P35" s="34">
        <v>5000000</v>
      </c>
      <c r="Q35" s="34">
        <v>500000</v>
      </c>
      <c r="R35" s="11" t="s">
        <v>94</v>
      </c>
      <c r="S35" s="12" t="s">
        <v>168</v>
      </c>
      <c r="T35" s="11" t="s">
        <v>93</v>
      </c>
      <c r="U35" s="12"/>
    </row>
    <row r="36" spans="1:21" ht="42.75" customHeight="1" x14ac:dyDescent="0.25">
      <c r="B36" s="13">
        <v>33</v>
      </c>
      <c r="C36" s="14" t="s">
        <v>88</v>
      </c>
      <c r="D36" s="14" t="s">
        <v>42</v>
      </c>
      <c r="E36" s="24" t="s">
        <v>228</v>
      </c>
      <c r="F36" s="13" t="s">
        <v>204</v>
      </c>
      <c r="G36" s="13" t="s">
        <v>113</v>
      </c>
      <c r="H36" s="13" t="s">
        <v>114</v>
      </c>
      <c r="I36" s="13">
        <v>7153</v>
      </c>
      <c r="J36" s="20">
        <f t="shared" si="0"/>
        <v>2861.2000000000003</v>
      </c>
      <c r="K36" s="9">
        <f>1600*0.4</f>
        <v>640</v>
      </c>
      <c r="L36" s="13" t="s">
        <v>99</v>
      </c>
      <c r="M36" s="13">
        <v>3</v>
      </c>
      <c r="N36" s="14"/>
      <c r="O36" s="30">
        <v>600000000</v>
      </c>
      <c r="P36" s="37">
        <v>5000000</v>
      </c>
      <c r="Q36" s="37">
        <v>350000</v>
      </c>
      <c r="R36" s="9" t="s">
        <v>94</v>
      </c>
      <c r="S36" s="10" t="s">
        <v>168</v>
      </c>
      <c r="T36" s="13" t="s">
        <v>93</v>
      </c>
      <c r="U36" s="14"/>
    </row>
    <row r="37" spans="1:21" ht="42.75" customHeight="1" x14ac:dyDescent="0.25">
      <c r="B37" s="11">
        <v>34</v>
      </c>
      <c r="C37" s="12" t="s">
        <v>89</v>
      </c>
      <c r="D37" s="12" t="s">
        <v>50</v>
      </c>
      <c r="E37" s="27" t="s">
        <v>229</v>
      </c>
      <c r="F37" s="11" t="s">
        <v>205</v>
      </c>
      <c r="G37" s="11" t="s">
        <v>115</v>
      </c>
      <c r="H37" s="11" t="s">
        <v>116</v>
      </c>
      <c r="I37" s="11">
        <v>4158</v>
      </c>
      <c r="J37" s="19">
        <f t="shared" si="0"/>
        <v>1663.2</v>
      </c>
      <c r="K37" s="11">
        <v>640</v>
      </c>
      <c r="L37" s="11" t="s">
        <v>99</v>
      </c>
      <c r="M37" s="11">
        <v>3</v>
      </c>
      <c r="N37" s="12"/>
      <c r="O37" s="29">
        <v>600000000</v>
      </c>
      <c r="P37" s="34">
        <v>5000000</v>
      </c>
      <c r="Q37" s="34">
        <v>500000</v>
      </c>
      <c r="R37" s="11" t="s">
        <v>94</v>
      </c>
      <c r="S37" s="12" t="s">
        <v>168</v>
      </c>
      <c r="T37" s="11" t="s">
        <v>93</v>
      </c>
      <c r="U37" s="12"/>
    </row>
    <row r="38" spans="1:21" ht="42.75" customHeight="1" x14ac:dyDescent="0.25">
      <c r="A38" s="73"/>
      <c r="B38" s="9">
        <v>35</v>
      </c>
      <c r="C38" s="14" t="s">
        <v>57</v>
      </c>
      <c r="D38" s="14" t="s">
        <v>43</v>
      </c>
      <c r="E38" s="24" t="s">
        <v>230</v>
      </c>
      <c r="F38" s="13" t="s">
        <v>206</v>
      </c>
      <c r="G38" s="24" t="s">
        <v>121</v>
      </c>
      <c r="H38" s="24" t="s">
        <v>122</v>
      </c>
      <c r="I38" s="24">
        <v>3242</v>
      </c>
      <c r="J38" s="20">
        <f t="shared" si="0"/>
        <v>1296.8000000000002</v>
      </c>
      <c r="K38" s="9">
        <f>1600*0.4</f>
        <v>640</v>
      </c>
      <c r="L38" s="13" t="s">
        <v>99</v>
      </c>
      <c r="M38" s="13">
        <v>6</v>
      </c>
      <c r="N38" s="14"/>
      <c r="O38" s="30">
        <v>600000000</v>
      </c>
      <c r="P38" s="37">
        <v>5000000</v>
      </c>
      <c r="Q38" s="37">
        <v>500000</v>
      </c>
      <c r="R38" s="9" t="s">
        <v>94</v>
      </c>
      <c r="S38" s="10" t="s">
        <v>168</v>
      </c>
      <c r="T38" s="13" t="s">
        <v>93</v>
      </c>
      <c r="U38" s="14"/>
    </row>
    <row r="39" spans="1:21" ht="42.75" customHeight="1" x14ac:dyDescent="0.25">
      <c r="B39" s="11">
        <v>36</v>
      </c>
      <c r="C39" s="12" t="s">
        <v>56</v>
      </c>
      <c r="D39" s="12" t="s">
        <v>44</v>
      </c>
      <c r="E39" s="11"/>
      <c r="F39" s="11"/>
      <c r="G39" s="11" t="s">
        <v>117</v>
      </c>
      <c r="H39" s="11" t="s">
        <v>118</v>
      </c>
      <c r="I39" s="11">
        <v>3480</v>
      </c>
      <c r="J39" s="19">
        <f t="shared" si="0"/>
        <v>1392</v>
      </c>
      <c r="K39" s="11">
        <v>640</v>
      </c>
      <c r="L39" s="11" t="s">
        <v>99</v>
      </c>
      <c r="M39" s="11">
        <v>3</v>
      </c>
      <c r="N39" s="12"/>
      <c r="O39" s="29">
        <v>600000000</v>
      </c>
      <c r="P39" s="34">
        <v>5000000</v>
      </c>
      <c r="Q39" s="34">
        <v>450000</v>
      </c>
      <c r="R39" s="11" t="s">
        <v>94</v>
      </c>
      <c r="S39" s="12" t="s">
        <v>168</v>
      </c>
      <c r="T39" s="11" t="s">
        <v>93</v>
      </c>
      <c r="U39" s="12"/>
    </row>
    <row r="40" spans="1:21" ht="42.75" customHeight="1" x14ac:dyDescent="0.25">
      <c r="B40" s="13">
        <v>37</v>
      </c>
      <c r="C40" s="14" t="s">
        <v>55</v>
      </c>
      <c r="D40" s="14" t="s">
        <v>45</v>
      </c>
      <c r="E40" s="13"/>
      <c r="F40" s="13"/>
      <c r="G40" s="13" t="s">
        <v>119</v>
      </c>
      <c r="H40" s="13" t="s">
        <v>120</v>
      </c>
      <c r="I40" s="13">
        <v>3665</v>
      </c>
      <c r="J40" s="20">
        <f t="shared" si="0"/>
        <v>1466</v>
      </c>
      <c r="K40" s="9">
        <f>1600*0.4</f>
        <v>640</v>
      </c>
      <c r="L40" s="13" t="s">
        <v>99</v>
      </c>
      <c r="M40" s="13">
        <v>3</v>
      </c>
      <c r="N40" s="14"/>
      <c r="O40" s="30">
        <v>600000000</v>
      </c>
      <c r="P40" s="37">
        <v>5000000</v>
      </c>
      <c r="Q40" s="37">
        <v>350000</v>
      </c>
      <c r="R40" s="9" t="s">
        <v>94</v>
      </c>
      <c r="S40" s="10" t="s">
        <v>168</v>
      </c>
      <c r="T40" s="13" t="s">
        <v>93</v>
      </c>
      <c r="U40" s="14"/>
    </row>
    <row r="41" spans="1:21" ht="42.75" customHeight="1" x14ac:dyDescent="0.25">
      <c r="A41" s="73"/>
      <c r="B41" s="11">
        <v>38</v>
      </c>
      <c r="C41" s="12" t="s">
        <v>54</v>
      </c>
      <c r="D41" s="12" t="s">
        <v>90</v>
      </c>
      <c r="E41" s="27" t="s">
        <v>231</v>
      </c>
      <c r="F41" s="11" t="s">
        <v>207</v>
      </c>
      <c r="G41" s="11" t="s">
        <v>101</v>
      </c>
      <c r="H41" s="11" t="s">
        <v>107</v>
      </c>
      <c r="I41" s="11">
        <v>7932</v>
      </c>
      <c r="J41" s="19">
        <f t="shared" si="0"/>
        <v>3172.8</v>
      </c>
      <c r="K41" s="11">
        <v>640</v>
      </c>
      <c r="L41" s="11" t="s">
        <v>99</v>
      </c>
      <c r="M41" s="11">
        <v>4</v>
      </c>
      <c r="N41" s="12"/>
      <c r="O41" s="29">
        <v>600000000</v>
      </c>
      <c r="P41" s="34">
        <v>5000000</v>
      </c>
      <c r="Q41" s="34">
        <v>500000</v>
      </c>
      <c r="R41" s="11" t="s">
        <v>94</v>
      </c>
      <c r="S41" s="12" t="s">
        <v>168</v>
      </c>
      <c r="T41" s="11" t="s">
        <v>93</v>
      </c>
      <c r="U41" s="12"/>
    </row>
    <row r="42" spans="1:21" ht="42.75" customHeight="1" x14ac:dyDescent="0.25">
      <c r="B42" s="13">
        <v>39</v>
      </c>
      <c r="C42" s="14" t="s">
        <v>53</v>
      </c>
      <c r="D42" s="14" t="s">
        <v>46</v>
      </c>
      <c r="E42" s="13"/>
      <c r="F42" s="13"/>
      <c r="G42" s="13" t="s">
        <v>102</v>
      </c>
      <c r="H42" s="13" t="s">
        <v>108</v>
      </c>
      <c r="I42" s="13"/>
      <c r="J42" s="20" t="s">
        <v>100</v>
      </c>
      <c r="K42" s="9">
        <f>1600*0.4</f>
        <v>640</v>
      </c>
      <c r="L42" s="13" t="s">
        <v>95</v>
      </c>
      <c r="M42" s="13" t="s">
        <v>100</v>
      </c>
      <c r="N42" s="14"/>
      <c r="O42" s="30">
        <v>600000000</v>
      </c>
      <c r="P42" s="37" t="s">
        <v>100</v>
      </c>
      <c r="Q42" s="37" t="s">
        <v>100</v>
      </c>
      <c r="R42" s="9" t="s">
        <v>94</v>
      </c>
      <c r="S42" s="10" t="s">
        <v>168</v>
      </c>
      <c r="T42" s="13" t="s">
        <v>93</v>
      </c>
      <c r="U42" s="14" t="s">
        <v>169</v>
      </c>
    </row>
    <row r="43" spans="1:21" ht="42.75" customHeight="1" x14ac:dyDescent="0.25">
      <c r="A43" s="73"/>
      <c r="B43" s="11">
        <v>40</v>
      </c>
      <c r="C43" s="12" t="s">
        <v>52</v>
      </c>
      <c r="D43" s="12" t="s">
        <v>47</v>
      </c>
      <c r="E43" s="27" t="s">
        <v>232</v>
      </c>
      <c r="F43" s="11" t="s">
        <v>208</v>
      </c>
      <c r="G43" s="11" t="s">
        <v>103</v>
      </c>
      <c r="H43" s="11" t="s">
        <v>109</v>
      </c>
      <c r="I43" s="11">
        <v>7359</v>
      </c>
      <c r="J43" s="19">
        <f>I43*0.4</f>
        <v>2943.6000000000004</v>
      </c>
      <c r="K43" s="11">
        <v>640</v>
      </c>
      <c r="L43" s="11" t="s">
        <v>99</v>
      </c>
      <c r="M43" s="11">
        <v>4</v>
      </c>
      <c r="N43" s="12"/>
      <c r="O43" s="29">
        <v>600000000</v>
      </c>
      <c r="P43" s="34">
        <v>5000000</v>
      </c>
      <c r="Q43" s="34">
        <v>500000</v>
      </c>
      <c r="R43" s="11" t="s">
        <v>94</v>
      </c>
      <c r="S43" s="12" t="s">
        <v>168</v>
      </c>
      <c r="T43" s="11" t="s">
        <v>93</v>
      </c>
      <c r="U43" s="12"/>
    </row>
    <row r="44" spans="1:21" ht="42.75" customHeight="1" x14ac:dyDescent="0.25">
      <c r="B44" s="13">
        <v>41</v>
      </c>
      <c r="C44" s="14" t="s">
        <v>51</v>
      </c>
      <c r="D44" s="14" t="s">
        <v>48</v>
      </c>
      <c r="E44" s="24" t="s">
        <v>233</v>
      </c>
      <c r="F44" s="13" t="s">
        <v>209</v>
      </c>
      <c r="G44" s="13" t="s">
        <v>104</v>
      </c>
      <c r="H44" s="13" t="s">
        <v>110</v>
      </c>
      <c r="I44" s="13">
        <v>2919</v>
      </c>
      <c r="J44" s="20">
        <f>I44*0.4</f>
        <v>1167.6000000000001</v>
      </c>
      <c r="K44" s="13">
        <v>640</v>
      </c>
      <c r="L44" s="13" t="s">
        <v>99</v>
      </c>
      <c r="M44" s="13">
        <v>4</v>
      </c>
      <c r="N44" s="14"/>
      <c r="O44" s="30">
        <v>1650000000</v>
      </c>
      <c r="P44" s="37">
        <v>14590800</v>
      </c>
      <c r="Q44" s="37">
        <v>42262300</v>
      </c>
      <c r="R44" s="13" t="s">
        <v>94</v>
      </c>
      <c r="S44" s="10" t="s">
        <v>168</v>
      </c>
      <c r="T44" s="13" t="s">
        <v>93</v>
      </c>
      <c r="U44" s="14"/>
    </row>
  </sheetData>
  <mergeCells count="19">
    <mergeCell ref="Q2:Q3"/>
    <mergeCell ref="R2:R3"/>
    <mergeCell ref="S2:S3"/>
    <mergeCell ref="T2:T3"/>
    <mergeCell ref="U2:U3"/>
    <mergeCell ref="P2:P3"/>
    <mergeCell ref="G2:H2"/>
    <mergeCell ref="B2:B3"/>
    <mergeCell ref="C2:C3"/>
    <mergeCell ref="D2:D3"/>
    <mergeCell ref="J2:J3"/>
    <mergeCell ref="K2:K3"/>
    <mergeCell ref="L2:L3"/>
    <mergeCell ref="M2:M3"/>
    <mergeCell ref="N2:N3"/>
    <mergeCell ref="O2:O3"/>
    <mergeCell ref="I2:I3"/>
    <mergeCell ref="E2:E3"/>
    <mergeCell ref="F2:F3"/>
  </mergeCells>
  <pageMargins left="0.7" right="0.7" top="0.75" bottom="0.75" header="0.3" footer="0.3"/>
  <pageSetup paperSize="20000"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view="pageBreakPreview" zoomScale="60" zoomScaleNormal="60" workbookViewId="0">
      <selection activeCell="K22" sqref="K22"/>
    </sheetView>
  </sheetViews>
  <sheetFormatPr defaultRowHeight="15" x14ac:dyDescent="0.25"/>
  <cols>
    <col min="1" max="1" width="6.5703125" style="2" customWidth="1"/>
    <col min="2" max="2" width="22.28515625" style="1" customWidth="1"/>
    <col min="3" max="4" width="18.140625" style="3" customWidth="1"/>
    <col min="5" max="5" width="14.7109375" style="25" customWidth="1"/>
    <col min="6" max="7" width="14.7109375" style="16" customWidth="1"/>
    <col min="8" max="8" width="14.85546875" style="21" customWidth="1"/>
    <col min="9" max="9" width="14.140625" style="16" customWidth="1"/>
    <col min="10" max="10" width="14.5703125" style="2" customWidth="1"/>
    <col min="11" max="11" width="9.140625" style="16"/>
    <col min="12" max="12" width="14.5703125" customWidth="1"/>
    <col min="13" max="13" width="20.42578125" style="33" customWidth="1"/>
    <col min="14" max="15" width="18.5703125" style="38" customWidth="1"/>
    <col min="16" max="16" width="26.7109375" style="16" customWidth="1"/>
    <col min="17" max="17" width="21.42578125" customWidth="1"/>
    <col min="18" max="18" width="15.42578125" style="16" customWidth="1"/>
    <col min="19" max="19" width="24.85546875" customWidth="1"/>
  </cols>
  <sheetData>
    <row r="1" spans="1:20" x14ac:dyDescent="0.25">
      <c r="A1" s="84" t="s">
        <v>310</v>
      </c>
      <c r="B1" s="84"/>
      <c r="C1" s="84"/>
      <c r="D1" s="84"/>
      <c r="E1" s="84"/>
      <c r="F1" s="84"/>
      <c r="G1" s="84"/>
      <c r="H1" s="84"/>
      <c r="I1" s="84"/>
      <c r="J1" s="84"/>
    </row>
    <row r="2" spans="1:20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</row>
    <row r="3" spans="1:20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</row>
    <row r="5" spans="1:20" ht="15.75" thickBot="1" x14ac:dyDescent="0.3">
      <c r="A5" s="4"/>
      <c r="B5" s="5"/>
      <c r="C5" s="6"/>
      <c r="D5" s="6"/>
      <c r="E5" s="23"/>
      <c r="F5" s="15"/>
      <c r="G5" s="15"/>
      <c r="H5" s="17"/>
      <c r="I5" s="15"/>
      <c r="J5" s="4"/>
      <c r="K5" s="15"/>
      <c r="L5" s="7"/>
      <c r="M5" s="31"/>
      <c r="N5" s="35"/>
      <c r="O5" s="35"/>
      <c r="P5" s="15"/>
      <c r="Q5" s="7"/>
      <c r="R5" s="15"/>
      <c r="S5" s="7"/>
    </row>
    <row r="6" spans="1:20" ht="75" customHeight="1" x14ac:dyDescent="0.25">
      <c r="A6" s="85" t="s">
        <v>0</v>
      </c>
      <c r="B6" s="87" t="s">
        <v>1</v>
      </c>
      <c r="C6" s="87" t="s">
        <v>2</v>
      </c>
      <c r="D6" s="87" t="s">
        <v>186</v>
      </c>
      <c r="E6" s="88" t="s">
        <v>3</v>
      </c>
      <c r="F6" s="89"/>
      <c r="G6" s="87" t="s">
        <v>170</v>
      </c>
      <c r="H6" s="94" t="s">
        <v>4</v>
      </c>
      <c r="I6" s="87" t="s">
        <v>5</v>
      </c>
      <c r="J6" s="90" t="s">
        <v>6</v>
      </c>
      <c r="K6" s="92" t="s">
        <v>7</v>
      </c>
      <c r="L6" s="80" t="s">
        <v>8</v>
      </c>
      <c r="M6" s="76" t="s">
        <v>9</v>
      </c>
      <c r="N6" s="76" t="s">
        <v>10</v>
      </c>
      <c r="O6" s="76" t="s">
        <v>11</v>
      </c>
      <c r="P6" s="80" t="s">
        <v>12</v>
      </c>
      <c r="Q6" s="80" t="s">
        <v>13</v>
      </c>
      <c r="R6" s="80" t="s">
        <v>14</v>
      </c>
      <c r="S6" s="80" t="s">
        <v>15</v>
      </c>
      <c r="T6" s="2"/>
    </row>
    <row r="7" spans="1:20" ht="24.75" customHeight="1" x14ac:dyDescent="0.25">
      <c r="A7" s="86"/>
      <c r="B7" s="81"/>
      <c r="C7" s="81"/>
      <c r="D7" s="81"/>
      <c r="E7" s="8" t="s">
        <v>105</v>
      </c>
      <c r="F7" s="22" t="s">
        <v>106</v>
      </c>
      <c r="G7" s="81"/>
      <c r="H7" s="83"/>
      <c r="I7" s="81"/>
      <c r="J7" s="91"/>
      <c r="K7" s="93"/>
      <c r="L7" s="81"/>
      <c r="M7" s="77"/>
      <c r="N7" s="77"/>
      <c r="O7" s="77"/>
      <c r="P7" s="81"/>
      <c r="Q7" s="81"/>
      <c r="R7" s="81"/>
      <c r="S7" s="81"/>
      <c r="T7" s="2"/>
    </row>
    <row r="8" spans="1:20" ht="42.75" customHeight="1" x14ac:dyDescent="0.25">
      <c r="A8" s="57">
        <v>1</v>
      </c>
      <c r="B8" s="10" t="s">
        <v>234</v>
      </c>
      <c r="C8" s="10" t="s">
        <v>171</v>
      </c>
      <c r="D8" s="10"/>
      <c r="E8" s="26" t="s">
        <v>245</v>
      </c>
      <c r="F8" s="26" t="s">
        <v>246</v>
      </c>
      <c r="G8" s="26"/>
      <c r="H8" s="18"/>
      <c r="I8" s="9">
        <v>8.9999999999999993E-3</v>
      </c>
      <c r="J8" s="58" t="s">
        <v>281</v>
      </c>
      <c r="K8" s="52"/>
      <c r="L8" s="10"/>
      <c r="M8" s="32"/>
      <c r="N8" s="36"/>
      <c r="O8" s="36"/>
      <c r="P8" s="9"/>
      <c r="Q8" s="10"/>
      <c r="R8" s="9"/>
      <c r="S8" s="10"/>
    </row>
    <row r="9" spans="1:20" ht="42.75" customHeight="1" x14ac:dyDescent="0.25">
      <c r="A9" s="59">
        <v>2</v>
      </c>
      <c r="B9" s="12" t="s">
        <v>183</v>
      </c>
      <c r="C9" s="12" t="s">
        <v>235</v>
      </c>
      <c r="D9" s="12"/>
      <c r="E9" s="27" t="s">
        <v>247</v>
      </c>
      <c r="F9" s="28" t="s">
        <v>248</v>
      </c>
      <c r="G9" s="28"/>
      <c r="H9" s="19"/>
      <c r="I9" s="11">
        <v>2.9000000000000001E-2</v>
      </c>
      <c r="J9" s="60"/>
      <c r="K9" s="53"/>
      <c r="L9" s="12"/>
      <c r="M9" s="29"/>
      <c r="N9" s="34"/>
      <c r="O9" s="34"/>
      <c r="P9" s="11"/>
      <c r="Q9" s="12"/>
      <c r="R9" s="11"/>
      <c r="S9" s="12"/>
    </row>
    <row r="10" spans="1:20" ht="42.75" customHeight="1" x14ac:dyDescent="0.25">
      <c r="A10" s="61">
        <v>3</v>
      </c>
      <c r="B10" s="14" t="s">
        <v>172</v>
      </c>
      <c r="C10" s="14" t="s">
        <v>172</v>
      </c>
      <c r="D10" s="14"/>
      <c r="E10" s="13" t="s">
        <v>249</v>
      </c>
      <c r="F10" s="13" t="s">
        <v>250</v>
      </c>
      <c r="G10" s="13"/>
      <c r="H10" s="20"/>
      <c r="I10" s="9">
        <v>2.9000000000000001E-2</v>
      </c>
      <c r="J10" s="62" t="s">
        <v>282</v>
      </c>
      <c r="K10" s="54"/>
      <c r="L10" s="14"/>
      <c r="M10" s="32"/>
      <c r="N10" s="37"/>
      <c r="O10" s="37"/>
      <c r="P10" s="9"/>
      <c r="Q10" s="10"/>
      <c r="R10" s="13"/>
      <c r="S10" s="10"/>
    </row>
    <row r="11" spans="1:20" ht="42.75" customHeight="1" x14ac:dyDescent="0.25">
      <c r="A11" s="59">
        <v>4</v>
      </c>
      <c r="B11" s="12" t="s">
        <v>173</v>
      </c>
      <c r="C11" s="12" t="s">
        <v>173</v>
      </c>
      <c r="D11" s="12"/>
      <c r="E11" s="27" t="s">
        <v>251</v>
      </c>
      <c r="F11" s="27" t="s">
        <v>252</v>
      </c>
      <c r="G11" s="27"/>
      <c r="H11" s="19"/>
      <c r="I11" s="11">
        <v>7.0000000000000001E-3</v>
      </c>
      <c r="J11" s="60" t="s">
        <v>282</v>
      </c>
      <c r="K11" s="53"/>
      <c r="L11" s="12"/>
      <c r="M11" s="29"/>
      <c r="N11" s="34"/>
      <c r="O11" s="34"/>
      <c r="P11" s="11"/>
      <c r="Q11" s="12"/>
      <c r="R11" s="11"/>
      <c r="S11" s="12"/>
    </row>
    <row r="12" spans="1:20" ht="42.75" customHeight="1" x14ac:dyDescent="0.25">
      <c r="A12" s="61">
        <v>5</v>
      </c>
      <c r="B12" s="14" t="s">
        <v>236</v>
      </c>
      <c r="C12" s="14" t="s">
        <v>174</v>
      </c>
      <c r="D12" s="14"/>
      <c r="E12" s="24" t="s">
        <v>253</v>
      </c>
      <c r="F12" s="24" t="s">
        <v>254</v>
      </c>
      <c r="G12" s="24"/>
      <c r="H12" s="20"/>
      <c r="I12" s="9" t="s">
        <v>100</v>
      </c>
      <c r="J12" s="62" t="s">
        <v>282</v>
      </c>
      <c r="K12" s="54"/>
      <c r="L12" s="14"/>
      <c r="M12" s="32"/>
      <c r="N12" s="37"/>
      <c r="O12" s="37"/>
      <c r="P12" s="9"/>
      <c r="Q12" s="10"/>
      <c r="R12" s="13"/>
      <c r="S12" s="14"/>
    </row>
    <row r="13" spans="1:20" ht="42.75" customHeight="1" x14ac:dyDescent="0.25">
      <c r="A13" s="59">
        <v>6</v>
      </c>
      <c r="B13" s="12" t="s">
        <v>183</v>
      </c>
      <c r="C13" s="12" t="s">
        <v>176</v>
      </c>
      <c r="D13" s="12"/>
      <c r="E13" s="11" t="s">
        <v>255</v>
      </c>
      <c r="F13" s="11" t="s">
        <v>256</v>
      </c>
      <c r="G13" s="11"/>
      <c r="H13" s="19"/>
      <c r="I13" s="11" t="s">
        <v>100</v>
      </c>
      <c r="J13" s="60" t="s">
        <v>281</v>
      </c>
      <c r="K13" s="53"/>
      <c r="L13" s="12"/>
      <c r="M13" s="29"/>
      <c r="N13" s="34"/>
      <c r="O13" s="34"/>
      <c r="P13" s="11"/>
      <c r="Q13" s="12"/>
      <c r="R13" s="11"/>
      <c r="S13" s="12"/>
    </row>
    <row r="14" spans="1:20" ht="42.75" customHeight="1" x14ac:dyDescent="0.25">
      <c r="A14" s="61">
        <v>7</v>
      </c>
      <c r="B14" s="14" t="s">
        <v>237</v>
      </c>
      <c r="C14" s="14" t="s">
        <v>177</v>
      </c>
      <c r="D14" s="14"/>
      <c r="E14" s="13" t="s">
        <v>257</v>
      </c>
      <c r="F14" s="13" t="s">
        <v>258</v>
      </c>
      <c r="G14" s="13"/>
      <c r="H14" s="20"/>
      <c r="I14" s="9">
        <v>0.14685714285714299</v>
      </c>
      <c r="J14" s="62" t="s">
        <v>281</v>
      </c>
      <c r="K14" s="54"/>
      <c r="L14" s="14"/>
      <c r="M14" s="32"/>
      <c r="N14" s="37"/>
      <c r="O14" s="37"/>
      <c r="P14" s="9"/>
      <c r="Q14" s="10"/>
      <c r="R14" s="13"/>
      <c r="S14" s="10"/>
    </row>
    <row r="15" spans="1:20" ht="42.75" customHeight="1" x14ac:dyDescent="0.25">
      <c r="A15" s="59">
        <v>8</v>
      </c>
      <c r="B15" s="12" t="s">
        <v>238</v>
      </c>
      <c r="C15" s="12" t="s">
        <v>178</v>
      </c>
      <c r="D15" s="12"/>
      <c r="E15" s="11" t="s">
        <v>259</v>
      </c>
      <c r="F15" s="11" t="s">
        <v>260</v>
      </c>
      <c r="G15" s="11"/>
      <c r="H15" s="19"/>
      <c r="I15" s="11">
        <v>3.5999999999999997E-2</v>
      </c>
      <c r="J15" s="60" t="s">
        <v>282</v>
      </c>
      <c r="K15" s="53"/>
      <c r="L15" s="12"/>
      <c r="M15" s="29"/>
      <c r="N15" s="34"/>
      <c r="O15" s="34"/>
      <c r="P15" s="11"/>
      <c r="Q15" s="12"/>
      <c r="R15" s="11"/>
      <c r="S15" s="12"/>
    </row>
    <row r="16" spans="1:20" ht="42.75" customHeight="1" x14ac:dyDescent="0.25">
      <c r="A16" s="61">
        <v>9</v>
      </c>
      <c r="B16" s="14" t="s">
        <v>237</v>
      </c>
      <c r="C16" s="14" t="s">
        <v>179</v>
      </c>
      <c r="D16" s="14"/>
      <c r="E16" s="13" t="s">
        <v>261</v>
      </c>
      <c r="F16" s="13" t="s">
        <v>262</v>
      </c>
      <c r="G16" s="13"/>
      <c r="H16" s="20"/>
      <c r="I16" s="9">
        <v>0.09</v>
      </c>
      <c r="J16" s="62" t="s">
        <v>282</v>
      </c>
      <c r="K16" s="54"/>
      <c r="L16" s="14"/>
      <c r="M16" s="30"/>
      <c r="N16" s="37"/>
      <c r="O16" s="37"/>
      <c r="P16" s="9"/>
      <c r="Q16" s="10"/>
      <c r="R16" s="13"/>
      <c r="S16" s="10"/>
    </row>
    <row r="17" spans="1:19" ht="42.75" customHeight="1" x14ac:dyDescent="0.25">
      <c r="A17" s="59">
        <v>10</v>
      </c>
      <c r="B17" s="12" t="s">
        <v>239</v>
      </c>
      <c r="C17" s="12" t="s">
        <v>180</v>
      </c>
      <c r="D17" s="12"/>
      <c r="E17" s="11" t="s">
        <v>263</v>
      </c>
      <c r="F17" s="11" t="s">
        <v>264</v>
      </c>
      <c r="G17" s="11"/>
      <c r="H17" s="19"/>
      <c r="I17" s="11">
        <v>0.214</v>
      </c>
      <c r="J17" s="60" t="s">
        <v>282</v>
      </c>
      <c r="K17" s="53"/>
      <c r="L17" s="12"/>
      <c r="M17" s="29"/>
      <c r="N17" s="34"/>
      <c r="O17" s="34"/>
      <c r="P17" s="11"/>
      <c r="Q17" s="12"/>
      <c r="R17" s="11"/>
      <c r="S17" s="12"/>
    </row>
    <row r="18" spans="1:19" ht="42.75" customHeight="1" x14ac:dyDescent="0.25">
      <c r="A18" s="61">
        <v>11</v>
      </c>
      <c r="B18" s="14" t="s">
        <v>240</v>
      </c>
      <c r="C18" s="14" t="s">
        <v>181</v>
      </c>
      <c r="D18" s="14"/>
      <c r="E18" s="24" t="s">
        <v>265</v>
      </c>
      <c r="F18" s="24" t="s">
        <v>266</v>
      </c>
      <c r="G18" s="24"/>
      <c r="H18" s="20"/>
      <c r="I18" s="9">
        <v>8.9999999999999993E-3</v>
      </c>
      <c r="J18" s="62" t="s">
        <v>282</v>
      </c>
      <c r="K18" s="54"/>
      <c r="L18" s="14"/>
      <c r="M18" s="30"/>
      <c r="N18" s="37"/>
      <c r="O18" s="37"/>
      <c r="P18" s="9"/>
      <c r="Q18" s="10"/>
      <c r="R18" s="13"/>
      <c r="S18" s="14"/>
    </row>
    <row r="19" spans="1:19" ht="42.75" customHeight="1" x14ac:dyDescent="0.25">
      <c r="A19" s="59">
        <v>12</v>
      </c>
      <c r="B19" s="12" t="s">
        <v>241</v>
      </c>
      <c r="C19" s="12" t="s">
        <v>175</v>
      </c>
      <c r="D19" s="12"/>
      <c r="E19" s="11" t="s">
        <v>267</v>
      </c>
      <c r="F19" s="11" t="s">
        <v>268</v>
      </c>
      <c r="G19" s="11"/>
      <c r="H19" s="19"/>
      <c r="I19" s="11">
        <v>4.4999999999999998E-2</v>
      </c>
      <c r="J19" s="60" t="s">
        <v>282</v>
      </c>
      <c r="K19" s="53"/>
      <c r="L19" s="12"/>
      <c r="M19" s="29"/>
      <c r="N19" s="34"/>
      <c r="O19" s="34"/>
      <c r="P19" s="11"/>
      <c r="Q19" s="12"/>
      <c r="R19" s="11"/>
      <c r="S19" s="12"/>
    </row>
    <row r="20" spans="1:19" ht="42.75" customHeight="1" x14ac:dyDescent="0.25">
      <c r="A20" s="61">
        <v>13</v>
      </c>
      <c r="B20" s="14" t="s">
        <v>242</v>
      </c>
      <c r="C20" s="14" t="s">
        <v>182</v>
      </c>
      <c r="D20" s="14"/>
      <c r="E20" s="24" t="s">
        <v>269</v>
      </c>
      <c r="F20" s="24" t="s">
        <v>270</v>
      </c>
      <c r="G20" s="24"/>
      <c r="H20" s="20"/>
      <c r="I20" s="9">
        <v>3.0000000000000001E-3</v>
      </c>
      <c r="J20" s="62" t="s">
        <v>282</v>
      </c>
      <c r="K20" s="54"/>
      <c r="L20" s="14"/>
      <c r="M20" s="30"/>
      <c r="N20" s="37"/>
      <c r="O20" s="37"/>
      <c r="P20" s="9"/>
      <c r="Q20" s="10"/>
      <c r="R20" s="13"/>
      <c r="S20" s="14"/>
    </row>
    <row r="21" spans="1:19" ht="42.75" customHeight="1" x14ac:dyDescent="0.25">
      <c r="A21" s="59">
        <v>14</v>
      </c>
      <c r="B21" s="12" t="s">
        <v>183</v>
      </c>
      <c r="C21" s="12" t="s">
        <v>183</v>
      </c>
      <c r="D21" s="12"/>
      <c r="E21" s="27" t="s">
        <v>271</v>
      </c>
      <c r="F21" s="27" t="s">
        <v>272</v>
      </c>
      <c r="G21" s="27"/>
      <c r="H21" s="19"/>
      <c r="I21" s="11">
        <v>2.5000000000000001E-2</v>
      </c>
      <c r="J21" s="60" t="s">
        <v>282</v>
      </c>
      <c r="K21" s="53"/>
      <c r="L21" s="12"/>
      <c r="M21" s="29"/>
      <c r="N21" s="34"/>
      <c r="O21" s="34"/>
      <c r="P21" s="11"/>
      <c r="Q21" s="12"/>
      <c r="R21" s="11"/>
      <c r="S21" s="12"/>
    </row>
    <row r="22" spans="1:19" ht="42.75" customHeight="1" x14ac:dyDescent="0.25">
      <c r="A22" s="61">
        <v>15</v>
      </c>
      <c r="B22" s="14" t="s">
        <v>238</v>
      </c>
      <c r="C22" s="14" t="s">
        <v>184</v>
      </c>
      <c r="D22" s="14"/>
      <c r="E22" s="13" t="s">
        <v>273</v>
      </c>
      <c r="F22" s="13" t="s">
        <v>274</v>
      </c>
      <c r="G22" s="13"/>
      <c r="H22" s="20"/>
      <c r="I22" s="9">
        <v>3.1E-2</v>
      </c>
      <c r="J22" s="62" t="s">
        <v>282</v>
      </c>
      <c r="K22" s="54"/>
      <c r="L22" s="14"/>
      <c r="M22" s="30"/>
      <c r="N22" s="37"/>
      <c r="O22" s="37"/>
      <c r="P22" s="9"/>
      <c r="Q22" s="10"/>
      <c r="R22" s="13"/>
      <c r="S22" s="14"/>
    </row>
    <row r="23" spans="1:19" ht="42.75" customHeight="1" x14ac:dyDescent="0.25">
      <c r="A23" s="59">
        <v>16</v>
      </c>
      <c r="B23" s="12" t="s">
        <v>243</v>
      </c>
      <c r="C23" s="12" t="s">
        <v>185</v>
      </c>
      <c r="D23" s="12"/>
      <c r="E23" s="11" t="s">
        <v>275</v>
      </c>
      <c r="F23" s="11" t="s">
        <v>276</v>
      </c>
      <c r="G23" s="11"/>
      <c r="H23" s="19"/>
      <c r="I23" s="11">
        <v>0.114</v>
      </c>
      <c r="J23" s="60" t="s">
        <v>282</v>
      </c>
      <c r="K23" s="53"/>
      <c r="L23" s="12"/>
      <c r="M23" s="29"/>
      <c r="N23" s="34"/>
      <c r="O23" s="34"/>
      <c r="P23" s="11"/>
      <c r="Q23" s="12"/>
      <c r="R23" s="11"/>
      <c r="S23" s="12"/>
    </row>
    <row r="24" spans="1:19" ht="42.75" customHeight="1" x14ac:dyDescent="0.25">
      <c r="A24" s="63">
        <v>17</v>
      </c>
      <c r="B24" s="40" t="s">
        <v>183</v>
      </c>
      <c r="C24" s="41" t="s">
        <v>183</v>
      </c>
      <c r="D24" s="41"/>
      <c r="E24" s="42" t="s">
        <v>277</v>
      </c>
      <c r="F24" s="39" t="s">
        <v>278</v>
      </c>
      <c r="G24" s="43"/>
      <c r="H24" s="44"/>
      <c r="I24" s="39">
        <v>0.14299999999999999</v>
      </c>
      <c r="J24" s="64" t="s">
        <v>282</v>
      </c>
      <c r="K24" s="55"/>
      <c r="L24" s="45"/>
      <c r="M24" s="46"/>
      <c r="N24" s="47"/>
      <c r="O24" s="47"/>
      <c r="P24" s="43"/>
      <c r="Q24" s="45"/>
      <c r="R24" s="43"/>
      <c r="S24" s="45"/>
    </row>
    <row r="25" spans="1:19" ht="42.75" customHeight="1" thickBot="1" x14ac:dyDescent="0.3">
      <c r="A25" s="65">
        <v>18</v>
      </c>
      <c r="B25" s="66" t="s">
        <v>240</v>
      </c>
      <c r="C25" s="67" t="s">
        <v>244</v>
      </c>
      <c r="D25" s="67"/>
      <c r="E25" s="68" t="s">
        <v>279</v>
      </c>
      <c r="F25" s="69" t="s">
        <v>280</v>
      </c>
      <c r="G25" s="70"/>
      <c r="H25" s="71"/>
      <c r="I25" s="70"/>
      <c r="J25" s="72" t="s">
        <v>282</v>
      </c>
      <c r="K25" s="56"/>
      <c r="L25" s="49"/>
      <c r="M25" s="50"/>
      <c r="N25" s="51"/>
      <c r="O25" s="51"/>
      <c r="P25" s="48"/>
      <c r="Q25" s="49"/>
      <c r="R25" s="48"/>
      <c r="S25" s="49"/>
    </row>
    <row r="28" spans="1:19" x14ac:dyDescent="0.25">
      <c r="N28" s="38">
        <v>11297833098</v>
      </c>
      <c r="O28" s="38">
        <v>11417833098</v>
      </c>
      <c r="P28" s="75">
        <f>O28-120000000</f>
        <v>11297833098</v>
      </c>
    </row>
  </sheetData>
  <mergeCells count="19">
    <mergeCell ref="S6:S7"/>
    <mergeCell ref="D6:D7"/>
    <mergeCell ref="M6:M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H6:H7"/>
    <mergeCell ref="A1:J3"/>
    <mergeCell ref="A6:A7"/>
    <mergeCell ref="B6:B7"/>
    <mergeCell ref="C6:C7"/>
    <mergeCell ref="E6:F6"/>
    <mergeCell ref="G6:G7"/>
  </mergeCells>
  <pageMargins left="0.7" right="0.7" top="0.75" bottom="0.75" header="0.3" footer="0.3"/>
  <pageSetup paperSize="9" scale="54" orientation="portrait" horizontalDpi="0" verticalDpi="0" r:id="rId1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view="pageBreakPreview" zoomScale="60" zoomScaleNormal="60" workbookViewId="0">
      <selection activeCell="I1" sqref="I1:I1048576"/>
    </sheetView>
  </sheetViews>
  <sheetFormatPr defaultRowHeight="15" x14ac:dyDescent="0.25"/>
  <cols>
    <col min="1" max="1" width="6.5703125" style="2" customWidth="1"/>
    <col min="2" max="2" width="22.28515625" style="1" customWidth="1"/>
    <col min="3" max="4" width="18.140625" style="3" customWidth="1"/>
    <col min="5" max="5" width="14.7109375" style="25" customWidth="1"/>
    <col min="6" max="7" width="14.7109375" style="16" customWidth="1"/>
    <col min="8" max="8" width="14.85546875" style="21" customWidth="1"/>
    <col min="9" max="9" width="14.140625" style="16" customWidth="1"/>
    <col min="10" max="10" width="14.5703125" style="2" customWidth="1"/>
    <col min="11" max="11" width="9.140625" style="16" customWidth="1"/>
    <col min="12" max="12" width="14.5703125" customWidth="1"/>
    <col min="13" max="13" width="20.42578125" style="33" customWidth="1"/>
    <col min="14" max="15" width="18.5703125" style="38" customWidth="1"/>
    <col min="16" max="16" width="14.140625" style="16" customWidth="1"/>
    <col min="17" max="17" width="21.42578125" customWidth="1"/>
    <col min="18" max="18" width="15.42578125" style="16" customWidth="1"/>
    <col min="19" max="19" width="24.85546875" customWidth="1"/>
  </cols>
  <sheetData>
    <row r="1" spans="1:20" x14ac:dyDescent="0.25">
      <c r="A1" s="4"/>
      <c r="B1" s="5"/>
      <c r="C1" s="6"/>
      <c r="D1" s="6"/>
      <c r="E1" s="23"/>
      <c r="F1" s="15"/>
      <c r="G1" s="15"/>
      <c r="H1" s="17"/>
      <c r="I1" s="15"/>
      <c r="J1" s="4"/>
      <c r="K1" s="15"/>
      <c r="L1" s="7"/>
      <c r="M1" s="31"/>
      <c r="N1" s="35"/>
      <c r="O1" s="35"/>
      <c r="P1" s="15"/>
      <c r="Q1" s="7"/>
      <c r="R1" s="15"/>
      <c r="S1" s="7"/>
    </row>
    <row r="2" spans="1:20" ht="75" customHeight="1" x14ac:dyDescent="0.25">
      <c r="A2" s="80" t="s">
        <v>0</v>
      </c>
      <c r="B2" s="80" t="s">
        <v>1</v>
      </c>
      <c r="C2" s="80" t="s">
        <v>2</v>
      </c>
      <c r="D2" s="80" t="s">
        <v>186</v>
      </c>
      <c r="E2" s="78" t="s">
        <v>3</v>
      </c>
      <c r="F2" s="79"/>
      <c r="G2" s="80" t="s">
        <v>170</v>
      </c>
      <c r="H2" s="82" t="s">
        <v>314</v>
      </c>
      <c r="I2" s="80" t="s">
        <v>5</v>
      </c>
      <c r="J2" s="80" t="s">
        <v>6</v>
      </c>
      <c r="K2" s="80" t="s">
        <v>7</v>
      </c>
      <c r="L2" s="80" t="s">
        <v>8</v>
      </c>
      <c r="M2" s="76" t="s">
        <v>9</v>
      </c>
      <c r="N2" s="76" t="s">
        <v>10</v>
      </c>
      <c r="O2" s="76" t="s">
        <v>11</v>
      </c>
      <c r="P2" s="80" t="s">
        <v>12</v>
      </c>
      <c r="Q2" s="80" t="s">
        <v>13</v>
      </c>
      <c r="R2" s="80" t="s">
        <v>14</v>
      </c>
      <c r="S2" s="80" t="s">
        <v>15</v>
      </c>
      <c r="T2" s="2"/>
    </row>
    <row r="3" spans="1:20" ht="24.75" customHeight="1" x14ac:dyDescent="0.25">
      <c r="A3" s="81"/>
      <c r="B3" s="81"/>
      <c r="C3" s="81"/>
      <c r="D3" s="81"/>
      <c r="E3" s="8" t="s">
        <v>105</v>
      </c>
      <c r="F3" s="22" t="s">
        <v>106</v>
      </c>
      <c r="G3" s="81"/>
      <c r="H3" s="83"/>
      <c r="I3" s="81"/>
      <c r="J3" s="81"/>
      <c r="K3" s="81"/>
      <c r="L3" s="81"/>
      <c r="M3" s="77"/>
      <c r="N3" s="77"/>
      <c r="O3" s="77"/>
      <c r="P3" s="81"/>
      <c r="Q3" s="81"/>
      <c r="R3" s="81"/>
      <c r="S3" s="81"/>
      <c r="T3" s="2"/>
    </row>
    <row r="4" spans="1:20" ht="42.75" customHeight="1" x14ac:dyDescent="0.25">
      <c r="A4" s="9">
        <v>1</v>
      </c>
      <c r="B4" s="10" t="s">
        <v>283</v>
      </c>
      <c r="C4" s="10" t="s">
        <v>284</v>
      </c>
      <c r="D4" s="10"/>
      <c r="E4" s="26" t="s">
        <v>291</v>
      </c>
      <c r="F4" s="26" t="s">
        <v>292</v>
      </c>
      <c r="G4" s="26"/>
      <c r="H4" s="18"/>
      <c r="I4" s="9">
        <v>0.42199999999999999</v>
      </c>
      <c r="J4" s="9" t="s">
        <v>282</v>
      </c>
      <c r="K4" s="9"/>
      <c r="L4" s="10"/>
      <c r="M4" s="32"/>
      <c r="N4" s="36"/>
      <c r="O4" s="36"/>
      <c r="P4" s="9"/>
      <c r="Q4" s="10"/>
      <c r="R4" s="9" t="s">
        <v>93</v>
      </c>
      <c r="S4" s="10"/>
    </row>
    <row r="5" spans="1:20" ht="42.75" customHeight="1" x14ac:dyDescent="0.25">
      <c r="A5" s="11">
        <v>2</v>
      </c>
      <c r="B5" s="12" t="s">
        <v>238</v>
      </c>
      <c r="C5" s="12" t="s">
        <v>285</v>
      </c>
      <c r="D5" s="12"/>
      <c r="E5" s="27" t="s">
        <v>293</v>
      </c>
      <c r="F5" s="28" t="s">
        <v>294</v>
      </c>
      <c r="G5" s="28"/>
      <c r="H5" s="19"/>
      <c r="I5" s="11">
        <v>0.35714285714285698</v>
      </c>
      <c r="J5" s="11" t="s">
        <v>282</v>
      </c>
      <c r="K5" s="11"/>
      <c r="L5" s="12"/>
      <c r="M5" s="29"/>
      <c r="N5" s="34"/>
      <c r="O5" s="34"/>
      <c r="P5" s="11"/>
      <c r="Q5" s="12"/>
      <c r="R5" s="11" t="s">
        <v>93</v>
      </c>
      <c r="S5" s="12"/>
    </row>
    <row r="6" spans="1:20" ht="42.75" customHeight="1" x14ac:dyDescent="0.25">
      <c r="A6" s="13">
        <v>3</v>
      </c>
      <c r="B6" s="14" t="s">
        <v>286</v>
      </c>
      <c r="C6" s="14" t="s">
        <v>287</v>
      </c>
      <c r="D6" s="14"/>
      <c r="E6" s="13" t="s">
        <v>295</v>
      </c>
      <c r="F6" s="13" t="s">
        <v>296</v>
      </c>
      <c r="G6" s="13"/>
      <c r="H6" s="20"/>
      <c r="I6" s="9">
        <v>0.1</v>
      </c>
      <c r="J6" s="13" t="s">
        <v>282</v>
      </c>
      <c r="K6" s="13"/>
      <c r="L6" s="14"/>
      <c r="M6" s="32"/>
      <c r="N6" s="37"/>
      <c r="O6" s="37"/>
      <c r="P6" s="9"/>
      <c r="Q6" s="10"/>
      <c r="R6" s="13" t="s">
        <v>309</v>
      </c>
      <c r="S6" s="10"/>
    </row>
    <row r="7" spans="1:20" ht="42.75" customHeight="1" x14ac:dyDescent="0.25">
      <c r="A7" s="11">
        <v>4</v>
      </c>
      <c r="B7" s="12" t="s">
        <v>241</v>
      </c>
      <c r="C7" s="12" t="s">
        <v>47</v>
      </c>
      <c r="D7" s="12"/>
      <c r="E7" s="27" t="s">
        <v>297</v>
      </c>
      <c r="F7" s="27" t="s">
        <v>298</v>
      </c>
      <c r="G7" s="27"/>
      <c r="H7" s="19"/>
      <c r="I7" s="11">
        <v>0.3</v>
      </c>
      <c r="J7" s="11" t="s">
        <v>282</v>
      </c>
      <c r="K7" s="11"/>
      <c r="L7" s="12"/>
      <c r="M7" s="29"/>
      <c r="N7" s="34"/>
      <c r="O7" s="34"/>
      <c r="P7" s="11"/>
      <c r="Q7" s="12"/>
      <c r="R7" s="11" t="s">
        <v>309</v>
      </c>
      <c r="S7" s="12"/>
    </row>
    <row r="8" spans="1:20" ht="42.75" customHeight="1" x14ac:dyDescent="0.25">
      <c r="A8" s="13">
        <v>5</v>
      </c>
      <c r="B8" s="14" t="s">
        <v>286</v>
      </c>
      <c r="C8" s="14" t="s">
        <v>287</v>
      </c>
      <c r="D8" s="14"/>
      <c r="E8" s="24" t="s">
        <v>295</v>
      </c>
      <c r="F8" s="24" t="s">
        <v>296</v>
      </c>
      <c r="G8" s="24"/>
      <c r="H8" s="20"/>
      <c r="I8" s="9">
        <v>0.05</v>
      </c>
      <c r="J8" s="13" t="s">
        <v>282</v>
      </c>
      <c r="K8" s="13"/>
      <c r="L8" s="14"/>
      <c r="M8" s="32"/>
      <c r="N8" s="37"/>
      <c r="O8" s="37"/>
      <c r="P8" s="9"/>
      <c r="Q8" s="10"/>
      <c r="R8" s="13" t="s">
        <v>309</v>
      </c>
      <c r="S8" s="14"/>
    </row>
    <row r="9" spans="1:20" ht="42.75" customHeight="1" x14ac:dyDescent="0.25">
      <c r="A9" s="11">
        <v>6</v>
      </c>
      <c r="B9" s="12" t="s">
        <v>238</v>
      </c>
      <c r="C9" s="12" t="s">
        <v>178</v>
      </c>
      <c r="D9" s="12"/>
      <c r="E9" s="11" t="s">
        <v>121</v>
      </c>
      <c r="F9" s="11" t="s">
        <v>122</v>
      </c>
      <c r="G9" s="11"/>
      <c r="H9" s="19"/>
      <c r="I9" s="11">
        <v>0.03</v>
      </c>
      <c r="J9" s="11" t="s">
        <v>282</v>
      </c>
      <c r="K9" s="11"/>
      <c r="L9" s="12"/>
      <c r="M9" s="29"/>
      <c r="N9" s="34"/>
      <c r="O9" s="34"/>
      <c r="P9" s="11"/>
      <c r="Q9" s="12"/>
      <c r="R9" s="11" t="s">
        <v>309</v>
      </c>
      <c r="S9" s="12"/>
    </row>
    <row r="10" spans="1:20" ht="42.75" customHeight="1" x14ac:dyDescent="0.25">
      <c r="A10" s="13">
        <v>7</v>
      </c>
      <c r="B10" s="14" t="s">
        <v>241</v>
      </c>
      <c r="C10" s="14" t="s">
        <v>288</v>
      </c>
      <c r="D10" s="14"/>
      <c r="E10" s="13" t="s">
        <v>299</v>
      </c>
      <c r="F10" s="13" t="s">
        <v>300</v>
      </c>
      <c r="G10" s="13"/>
      <c r="H10" s="20"/>
      <c r="I10" s="9">
        <v>0.1</v>
      </c>
      <c r="J10" s="13" t="s">
        <v>282</v>
      </c>
      <c r="K10" s="13"/>
      <c r="L10" s="14"/>
      <c r="M10" s="32"/>
      <c r="N10" s="37"/>
      <c r="O10" s="37"/>
      <c r="P10" s="9"/>
      <c r="Q10" s="10"/>
      <c r="R10" s="13" t="s">
        <v>309</v>
      </c>
      <c r="S10" s="10"/>
    </row>
    <row r="11" spans="1:20" ht="42.75" customHeight="1" x14ac:dyDescent="0.25">
      <c r="A11" s="11">
        <v>8</v>
      </c>
      <c r="B11" s="12" t="s">
        <v>172</v>
      </c>
      <c r="C11" s="12" t="s">
        <v>289</v>
      </c>
      <c r="D11" s="12"/>
      <c r="E11" s="11" t="s">
        <v>301</v>
      </c>
      <c r="F11" s="11" t="s">
        <v>302</v>
      </c>
      <c r="G11" s="11"/>
      <c r="H11" s="19"/>
      <c r="I11" s="11">
        <v>0.05</v>
      </c>
      <c r="J11" s="11" t="s">
        <v>282</v>
      </c>
      <c r="K11" s="11"/>
      <c r="L11" s="12"/>
      <c r="M11" s="29"/>
      <c r="N11" s="34"/>
      <c r="O11" s="34"/>
      <c r="P11" s="11"/>
      <c r="Q11" s="12"/>
      <c r="R11" s="11" t="s">
        <v>309</v>
      </c>
      <c r="S11" s="12"/>
    </row>
    <row r="12" spans="1:20" ht="42.75" customHeight="1" x14ac:dyDescent="0.25">
      <c r="A12" s="13">
        <v>9</v>
      </c>
      <c r="B12" s="14" t="s">
        <v>172</v>
      </c>
      <c r="C12" s="14" t="s">
        <v>172</v>
      </c>
      <c r="D12" s="14"/>
      <c r="E12" s="13" t="s">
        <v>303</v>
      </c>
      <c r="F12" s="13" t="s">
        <v>304</v>
      </c>
      <c r="G12" s="13"/>
      <c r="H12" s="20"/>
      <c r="I12" s="9">
        <v>0.05</v>
      </c>
      <c r="J12" s="13" t="s">
        <v>282</v>
      </c>
      <c r="K12" s="13"/>
      <c r="L12" s="14"/>
      <c r="M12" s="30"/>
      <c r="N12" s="37"/>
      <c r="O12" s="37"/>
      <c r="P12" s="9"/>
      <c r="Q12" s="10"/>
      <c r="R12" s="13" t="s">
        <v>309</v>
      </c>
      <c r="S12" s="10"/>
    </row>
    <row r="13" spans="1:20" ht="42.75" customHeight="1" x14ac:dyDescent="0.25">
      <c r="A13" s="11">
        <v>10</v>
      </c>
      <c r="B13" s="12" t="s">
        <v>290</v>
      </c>
      <c r="C13" s="12" t="s">
        <v>183</v>
      </c>
      <c r="D13" s="12"/>
      <c r="E13" s="11" t="s">
        <v>305</v>
      </c>
      <c r="F13" s="11" t="s">
        <v>306</v>
      </c>
      <c r="G13" s="11"/>
      <c r="H13" s="19"/>
      <c r="I13" s="11">
        <v>0.05</v>
      </c>
      <c r="J13" s="11" t="s">
        <v>282</v>
      </c>
      <c r="K13" s="11"/>
      <c r="L13" s="12"/>
      <c r="M13" s="29"/>
      <c r="N13" s="34"/>
      <c r="O13" s="34"/>
      <c r="P13" s="11"/>
      <c r="Q13" s="12"/>
      <c r="R13" s="11" t="s">
        <v>309</v>
      </c>
      <c r="S13" s="12"/>
    </row>
    <row r="14" spans="1:20" ht="42.75" customHeight="1" x14ac:dyDescent="0.25">
      <c r="A14" s="13">
        <v>11</v>
      </c>
      <c r="B14" s="14" t="s">
        <v>240</v>
      </c>
      <c r="C14" s="14" t="s">
        <v>240</v>
      </c>
      <c r="D14" s="14"/>
      <c r="E14" s="24" t="s">
        <v>307</v>
      </c>
      <c r="F14" s="24" t="s">
        <v>308</v>
      </c>
      <c r="G14" s="24"/>
      <c r="H14" s="20"/>
      <c r="I14" s="9">
        <v>0.03</v>
      </c>
      <c r="J14" s="13" t="s">
        <v>282</v>
      </c>
      <c r="K14" s="13"/>
      <c r="L14" s="14"/>
      <c r="M14" s="30"/>
      <c r="N14" s="37"/>
      <c r="O14" s="37"/>
      <c r="P14" s="9"/>
      <c r="Q14" s="10"/>
      <c r="R14" s="13" t="s">
        <v>309</v>
      </c>
      <c r="S14" s="14"/>
    </row>
  </sheetData>
  <mergeCells count="18">
    <mergeCell ref="S2:S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G2:G3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view="pageBreakPreview" zoomScale="60" zoomScaleNormal="60" workbookViewId="0">
      <selection activeCell="K5" sqref="K5"/>
    </sheetView>
  </sheetViews>
  <sheetFormatPr defaultRowHeight="15" x14ac:dyDescent="0.25"/>
  <cols>
    <col min="1" max="1" width="6.5703125" style="2" customWidth="1"/>
    <col min="2" max="2" width="49" style="1" customWidth="1"/>
    <col min="3" max="3" width="24" style="25" customWidth="1"/>
    <col min="4" max="4" width="14.7109375" style="25" customWidth="1"/>
    <col min="5" max="5" width="14.7109375" style="16" customWidth="1"/>
    <col min="6" max="6" width="14.85546875" style="21" customWidth="1"/>
    <col min="7" max="7" width="14.5703125" style="2" customWidth="1"/>
    <col min="8" max="8" width="22.5703125" style="16" customWidth="1"/>
  </cols>
  <sheetData>
    <row r="1" spans="1:9" x14ac:dyDescent="0.25">
      <c r="A1" s="98" t="s">
        <v>349</v>
      </c>
      <c r="B1" s="98"/>
      <c r="C1" s="98"/>
      <c r="D1" s="98"/>
      <c r="E1" s="98"/>
      <c r="F1" s="98"/>
      <c r="G1" s="98"/>
      <c r="H1" s="98"/>
    </row>
    <row r="2" spans="1:9" x14ac:dyDescent="0.25">
      <c r="A2" s="98"/>
      <c r="B2" s="98"/>
      <c r="C2" s="98"/>
      <c r="D2" s="98"/>
      <c r="E2" s="98"/>
      <c r="F2" s="98"/>
      <c r="G2" s="98"/>
      <c r="H2" s="98"/>
    </row>
    <row r="3" spans="1:9" x14ac:dyDescent="0.25">
      <c r="A3" s="98"/>
      <c r="B3" s="98"/>
      <c r="C3" s="98"/>
      <c r="D3" s="98"/>
      <c r="E3" s="98"/>
      <c r="F3" s="98"/>
      <c r="G3" s="98"/>
      <c r="H3" s="98"/>
    </row>
    <row r="4" spans="1:9" x14ac:dyDescent="0.25">
      <c r="A4" s="4"/>
      <c r="B4" s="5"/>
      <c r="C4" s="23"/>
      <c r="D4" s="23"/>
      <c r="E4" s="15"/>
      <c r="F4" s="17"/>
      <c r="G4" s="4"/>
      <c r="H4" s="15"/>
    </row>
    <row r="5" spans="1:9" ht="75" customHeight="1" x14ac:dyDescent="0.25">
      <c r="A5" s="80" t="s">
        <v>0</v>
      </c>
      <c r="B5" s="80" t="s">
        <v>1</v>
      </c>
      <c r="C5" s="80" t="s">
        <v>2</v>
      </c>
      <c r="D5" s="78" t="s">
        <v>3</v>
      </c>
      <c r="E5" s="79"/>
      <c r="F5" s="82" t="s">
        <v>314</v>
      </c>
      <c r="G5" s="80" t="s">
        <v>6</v>
      </c>
      <c r="H5" s="80" t="s">
        <v>14</v>
      </c>
      <c r="I5" s="2"/>
    </row>
    <row r="6" spans="1:9" ht="24.75" customHeight="1" x14ac:dyDescent="0.25">
      <c r="A6" s="81"/>
      <c r="B6" s="81"/>
      <c r="C6" s="81"/>
      <c r="D6" s="8" t="s">
        <v>105</v>
      </c>
      <c r="E6" s="74" t="s">
        <v>106</v>
      </c>
      <c r="F6" s="83"/>
      <c r="G6" s="81"/>
      <c r="H6" s="81"/>
      <c r="I6" s="2"/>
    </row>
    <row r="7" spans="1:9" ht="42.75" customHeight="1" x14ac:dyDescent="0.25">
      <c r="A7" s="13">
        <v>1</v>
      </c>
      <c r="B7" s="14" t="s">
        <v>167</v>
      </c>
      <c r="C7" s="13" t="s">
        <v>286</v>
      </c>
      <c r="D7" s="13" t="s">
        <v>295</v>
      </c>
      <c r="E7" s="13" t="s">
        <v>296</v>
      </c>
      <c r="F7" s="20" t="s">
        <v>323</v>
      </c>
      <c r="G7" s="13" t="s">
        <v>282</v>
      </c>
      <c r="H7" s="13" t="s">
        <v>309</v>
      </c>
    </row>
    <row r="8" spans="1:9" ht="42.75" customHeight="1" x14ac:dyDescent="0.25">
      <c r="A8" s="11">
        <v>2</v>
      </c>
      <c r="B8" s="12" t="s">
        <v>332</v>
      </c>
      <c r="C8" s="11" t="s">
        <v>241</v>
      </c>
      <c r="D8" s="27" t="s">
        <v>297</v>
      </c>
      <c r="E8" s="27" t="s">
        <v>298</v>
      </c>
      <c r="F8" s="19" t="s">
        <v>315</v>
      </c>
      <c r="G8" s="11" t="s">
        <v>282</v>
      </c>
      <c r="H8" s="11" t="s">
        <v>309</v>
      </c>
    </row>
    <row r="9" spans="1:9" ht="42.75" customHeight="1" x14ac:dyDescent="0.25">
      <c r="A9" s="9">
        <v>3</v>
      </c>
      <c r="B9" s="10" t="s">
        <v>320</v>
      </c>
      <c r="C9" s="9" t="s">
        <v>178</v>
      </c>
      <c r="D9" s="9" t="s">
        <v>121</v>
      </c>
      <c r="E9" s="9" t="s">
        <v>122</v>
      </c>
      <c r="F9" s="18" t="s">
        <v>321</v>
      </c>
      <c r="G9" s="9" t="s">
        <v>282</v>
      </c>
      <c r="H9" s="9" t="s">
        <v>309</v>
      </c>
    </row>
    <row r="10" spans="1:9" ht="42.75" customHeight="1" x14ac:dyDescent="0.25">
      <c r="A10" s="11">
        <v>4</v>
      </c>
      <c r="B10" s="12" t="s">
        <v>333</v>
      </c>
      <c r="C10" s="11" t="s">
        <v>283</v>
      </c>
      <c r="D10" s="11" t="s">
        <v>299</v>
      </c>
      <c r="E10" s="11" t="s">
        <v>300</v>
      </c>
      <c r="F10" s="19" t="s">
        <v>323</v>
      </c>
      <c r="G10" s="11" t="s">
        <v>282</v>
      </c>
      <c r="H10" s="11" t="s">
        <v>309</v>
      </c>
    </row>
    <row r="11" spans="1:9" ht="42.75" customHeight="1" x14ac:dyDescent="0.25">
      <c r="A11" s="95">
        <v>5</v>
      </c>
      <c r="B11" s="96" t="s">
        <v>334</v>
      </c>
      <c r="C11" s="95" t="s">
        <v>172</v>
      </c>
      <c r="D11" s="95" t="s">
        <v>301</v>
      </c>
      <c r="E11" s="95" t="s">
        <v>302</v>
      </c>
      <c r="F11" s="97" t="s">
        <v>324</v>
      </c>
      <c r="G11" s="95" t="s">
        <v>282</v>
      </c>
      <c r="H11" s="95" t="s">
        <v>309</v>
      </c>
    </row>
    <row r="12" spans="1:9" ht="42.75" customHeight="1" x14ac:dyDescent="0.25">
      <c r="A12" s="11">
        <v>6</v>
      </c>
      <c r="B12" s="12" t="s">
        <v>335</v>
      </c>
      <c r="C12" s="11" t="s">
        <v>172</v>
      </c>
      <c r="D12" s="11" t="s">
        <v>303</v>
      </c>
      <c r="E12" s="11" t="s">
        <v>304</v>
      </c>
      <c r="F12" s="19" t="s">
        <v>325</v>
      </c>
      <c r="G12" s="11" t="s">
        <v>282</v>
      </c>
      <c r="H12" s="11" t="s">
        <v>309</v>
      </c>
    </row>
    <row r="13" spans="1:9" ht="42.75" customHeight="1" x14ac:dyDescent="0.25">
      <c r="A13" s="9">
        <v>7</v>
      </c>
      <c r="B13" s="10" t="s">
        <v>30</v>
      </c>
      <c r="C13" s="9" t="s">
        <v>183</v>
      </c>
      <c r="D13" s="9" t="s">
        <v>305</v>
      </c>
      <c r="E13" s="9" t="s">
        <v>306</v>
      </c>
      <c r="F13" s="18" t="s">
        <v>326</v>
      </c>
      <c r="G13" s="9" t="s">
        <v>282</v>
      </c>
      <c r="H13" s="9" t="s">
        <v>309</v>
      </c>
    </row>
    <row r="14" spans="1:9" ht="42.75" customHeight="1" x14ac:dyDescent="0.25">
      <c r="A14" s="11">
        <v>8</v>
      </c>
      <c r="B14" s="12" t="s">
        <v>336</v>
      </c>
      <c r="C14" s="11" t="s">
        <v>240</v>
      </c>
      <c r="D14" s="27" t="s">
        <v>307</v>
      </c>
      <c r="E14" s="27" t="s">
        <v>308</v>
      </c>
      <c r="F14" s="19" t="s">
        <v>327</v>
      </c>
      <c r="G14" s="11" t="s">
        <v>282</v>
      </c>
      <c r="H14" s="11" t="s">
        <v>309</v>
      </c>
    </row>
    <row r="15" spans="1:9" ht="42.75" customHeight="1" x14ac:dyDescent="0.25">
      <c r="A15" s="9">
        <v>9</v>
      </c>
      <c r="B15" s="10" t="s">
        <v>316</v>
      </c>
      <c r="C15" s="9" t="s">
        <v>290</v>
      </c>
      <c r="D15" s="26" t="s">
        <v>339</v>
      </c>
      <c r="E15" s="26" t="s">
        <v>340</v>
      </c>
      <c r="F15" s="18" t="s">
        <v>318</v>
      </c>
      <c r="G15" s="9" t="s">
        <v>282</v>
      </c>
      <c r="H15" s="9" t="s">
        <v>309</v>
      </c>
    </row>
    <row r="16" spans="1:9" ht="42.75" customHeight="1" x14ac:dyDescent="0.25">
      <c r="A16" s="11">
        <v>10</v>
      </c>
      <c r="B16" s="12" t="s">
        <v>317</v>
      </c>
      <c r="C16" s="11" t="s">
        <v>319</v>
      </c>
      <c r="D16" s="27" t="s">
        <v>341</v>
      </c>
      <c r="E16" s="27" t="s">
        <v>342</v>
      </c>
      <c r="F16" s="19" t="s">
        <v>322</v>
      </c>
      <c r="G16" s="11" t="s">
        <v>282</v>
      </c>
      <c r="H16" s="11" t="s">
        <v>309</v>
      </c>
    </row>
    <row r="17" spans="1:8" ht="42.75" customHeight="1" x14ac:dyDescent="0.25">
      <c r="A17" s="9">
        <v>11</v>
      </c>
      <c r="B17" s="10" t="s">
        <v>337</v>
      </c>
      <c r="C17" s="9" t="s">
        <v>243</v>
      </c>
      <c r="D17" s="26" t="s">
        <v>343</v>
      </c>
      <c r="E17" s="26" t="s">
        <v>344</v>
      </c>
      <c r="F17" s="18" t="s">
        <v>321</v>
      </c>
      <c r="G17" s="9" t="s">
        <v>282</v>
      </c>
      <c r="H17" s="9" t="s">
        <v>309</v>
      </c>
    </row>
    <row r="18" spans="1:8" ht="42.75" customHeight="1" x14ac:dyDescent="0.25">
      <c r="A18" s="11">
        <v>12</v>
      </c>
      <c r="B18" s="12" t="s">
        <v>338</v>
      </c>
      <c r="C18" s="11" t="s">
        <v>328</v>
      </c>
      <c r="D18" s="27" t="s">
        <v>345</v>
      </c>
      <c r="E18" s="27" t="s">
        <v>346</v>
      </c>
      <c r="F18" s="19" t="s">
        <v>315</v>
      </c>
      <c r="G18" s="11" t="s">
        <v>282</v>
      </c>
      <c r="H18" s="11" t="s">
        <v>309</v>
      </c>
    </row>
    <row r="19" spans="1:8" ht="42.75" customHeight="1" x14ac:dyDescent="0.25">
      <c r="A19" s="9">
        <v>13</v>
      </c>
      <c r="B19" s="10" t="s">
        <v>330</v>
      </c>
      <c r="C19" s="9" t="s">
        <v>331</v>
      </c>
      <c r="D19" s="26" t="s">
        <v>347</v>
      </c>
      <c r="E19" s="26" t="s">
        <v>348</v>
      </c>
      <c r="F19" s="18" t="s">
        <v>329</v>
      </c>
      <c r="G19" s="9" t="s">
        <v>282</v>
      </c>
      <c r="H19" s="9" t="s">
        <v>309</v>
      </c>
    </row>
  </sheetData>
  <mergeCells count="8">
    <mergeCell ref="H5:H6"/>
    <mergeCell ref="A1:H3"/>
    <mergeCell ref="F5:F6"/>
    <mergeCell ref="G5:G6"/>
    <mergeCell ref="A5:A6"/>
    <mergeCell ref="B5:B6"/>
    <mergeCell ref="C5:C6"/>
    <mergeCell ref="D5:E5"/>
  </mergeCells>
  <pageMargins left="0.7" right="0.7" top="0.75" bottom="0.75" header="0.3" footer="0.3"/>
  <pageSetup paperSize="9" scale="5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TPS3R</vt:lpstr>
      <vt:lpstr>BANK SAMPAH</vt:lpstr>
      <vt:lpstr>PDU</vt:lpstr>
      <vt:lpstr>Komunitas maggot</vt:lpstr>
      <vt:lpstr>'Komunitas maggot'!Print_Area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2026-07-24T01:32:23Z</cp:lastPrinted>
  <dcterms:created xsi:type="dcterms:W3CDTF">2025-09-30T01:41:17Z</dcterms:created>
  <dcterms:modified xsi:type="dcterms:W3CDTF">2026-07-24T06:05:23Z</dcterms:modified>
</cp:coreProperties>
</file>